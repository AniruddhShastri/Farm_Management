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ruddhshastri/Library/Mobile Documents/com~apple~CloudDocs/UPC/Thesis/Claude thesis/"/>
    </mc:Choice>
  </mc:AlternateContent>
  <xr:revisionPtr revIDLastSave="0" documentId="13_ncr:1_{C07F88BE-41DD-544C-AB8D-27310BD1FC06}" xr6:coauthVersionLast="47" xr6:coauthVersionMax="47" xr10:uidLastSave="{00000000-0000-0000-0000-000000000000}"/>
  <bookViews>
    <workbookView xWindow="680" yWindow="660" windowWidth="28040" windowHeight="16820" activeTab="1" xr2:uid="{EC821910-3579-3D41-9DDC-55041499141A}"/>
  </bookViews>
  <sheets>
    <sheet name="Sheet1" sheetId="1" state="hidden" r:id="rId1"/>
    <sheet name="Farm Energy Demand" sheetId="7" r:id="rId2"/>
    <sheet name="Farm Inputs" sheetId="6" r:id="rId3"/>
    <sheet name="Finances" sheetId="2" r:id="rId4"/>
    <sheet name="Calculations" sheetId="3" r:id="rId5"/>
  </sheets>
  <externalReferences>
    <externalReference r:id="rId6"/>
  </externalReferences>
  <definedNames>
    <definedName name="_xlchart.v2.0" hidden="1">Calculations!$B$29</definedName>
    <definedName name="_xlchart.v2.1" hidden="1">Calculations!$B$30:$B$32</definedName>
    <definedName name="_xlchart.v2.2" hidden="1">Calculations!$C$29</definedName>
    <definedName name="_xlchart.v2.3" hidden="1">Calculations!$C$30:$C$32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7" l="1"/>
  <c r="B9" i="7"/>
  <c r="I7" i="7"/>
  <c r="I6" i="7"/>
  <c r="I5" i="7"/>
  <c r="I8" i="7" s="1"/>
  <c r="B5" i="7"/>
  <c r="I4" i="7"/>
  <c r="B4" i="7"/>
  <c r="I3" i="7"/>
  <c r="B3" i="7"/>
  <c r="B23" i="7" s="1"/>
  <c r="I2" i="7"/>
  <c r="B49" i="6"/>
  <c r="B50" i="6" s="1"/>
  <c r="N46" i="6"/>
  <c r="H46" i="6"/>
  <c r="H47" i="6" s="1"/>
  <c r="B45" i="6"/>
  <c r="B48" i="6" s="1"/>
  <c r="B46" i="6" s="1"/>
  <c r="B54" i="6" s="1"/>
  <c r="B44" i="6"/>
  <c r="N38" i="6"/>
  <c r="N40" i="6" s="1"/>
  <c r="N50" i="6" s="1"/>
  <c r="N54" i="6" s="1"/>
  <c r="N58" i="6" s="1"/>
  <c r="N37" i="6"/>
  <c r="N36" i="6"/>
  <c r="N35" i="6"/>
  <c r="N47" i="6" s="1"/>
  <c r="N34" i="6"/>
  <c r="B34" i="6"/>
  <c r="N33" i="6"/>
  <c r="N39" i="6" s="1"/>
  <c r="H30" i="6"/>
  <c r="B28" i="6"/>
  <c r="B29" i="6" s="1"/>
  <c r="B32" i="6" s="1"/>
  <c r="H14" i="6"/>
  <c r="H13" i="6"/>
  <c r="H12" i="6"/>
  <c r="H15" i="6" s="1"/>
  <c r="B11" i="6"/>
  <c r="Q5" i="6"/>
  <c r="P5" i="6"/>
  <c r="K5" i="6"/>
  <c r="J5" i="6"/>
  <c r="B13" i="6" s="1"/>
  <c r="H5" i="6"/>
  <c r="P4" i="6"/>
  <c r="Q4" i="6" s="1"/>
  <c r="J4" i="6"/>
  <c r="L4" i="6" s="1"/>
  <c r="P3" i="6"/>
  <c r="Q3" i="6" s="1"/>
  <c r="L3" i="6"/>
  <c r="J3" i="6"/>
  <c r="P2" i="6"/>
  <c r="Q2" i="6" s="1"/>
  <c r="J2" i="6"/>
  <c r="L2" i="6" s="1"/>
  <c r="L5" i="6" s="1"/>
  <c r="H48" i="6" l="1"/>
  <c r="H49" i="6" s="1"/>
  <c r="H50" i="6"/>
  <c r="H51" i="6" s="1"/>
  <c r="H52" i="6"/>
  <c r="N45" i="6"/>
  <c r="N48" i="6" s="1"/>
  <c r="N53" i="6" s="1"/>
  <c r="N57" i="6" s="1"/>
  <c r="H22" i="6" l="1"/>
  <c r="H23" i="6"/>
  <c r="H24" i="6"/>
  <c r="H25" i="6" l="1"/>
  <c r="H26" i="6" s="1"/>
  <c r="B51" i="6" l="1"/>
  <c r="H29" i="6"/>
  <c r="H31" i="6" s="1"/>
  <c r="B16" i="6" s="1"/>
  <c r="B52" i="6"/>
  <c r="B53" i="6" s="1"/>
  <c r="H40" i="6" l="1"/>
  <c r="H39" i="6"/>
  <c r="H38" i="6"/>
  <c r="Q10" i="6" l="1"/>
  <c r="Q14" i="6" s="1"/>
  <c r="N10" i="6"/>
  <c r="N14" i="6" s="1"/>
  <c r="T10" i="6"/>
  <c r="T14" i="6" s="1"/>
  <c r="T11" i="6"/>
  <c r="T15" i="6" s="1"/>
  <c r="Q11" i="6"/>
  <c r="Q15" i="6" s="1"/>
  <c r="N11" i="6"/>
  <c r="N15" i="6" s="1"/>
  <c r="Q12" i="6"/>
  <c r="Q16" i="6" s="1"/>
  <c r="N12" i="6"/>
  <c r="N16" i="6" s="1"/>
  <c r="T12" i="6"/>
  <c r="T16" i="6" s="1"/>
  <c r="N17" i="6" l="1"/>
  <c r="N18" i="6" s="1"/>
  <c r="T17" i="6"/>
  <c r="T18" i="6" s="1"/>
  <c r="Q17" i="6"/>
  <c r="Q18" i="6" s="1"/>
  <c r="Q19" i="6" l="1"/>
  <c r="Q20" i="6" s="1"/>
  <c r="B32" i="3"/>
  <c r="B31" i="3"/>
  <c r="B30" i="3"/>
  <c r="G9" i="3"/>
  <c r="G10" i="3"/>
  <c r="G17" i="3"/>
  <c r="G18" i="3"/>
  <c r="F5" i="3"/>
  <c r="G5" i="3" s="1"/>
  <c r="E7" i="3"/>
  <c r="G7" i="3" s="1"/>
  <c r="E8" i="3"/>
  <c r="G8" i="3" s="1"/>
  <c r="E9" i="3"/>
  <c r="E10" i="3"/>
  <c r="E11" i="3"/>
  <c r="G11" i="3" s="1"/>
  <c r="E12" i="3"/>
  <c r="G12" i="3" s="1"/>
  <c r="E13" i="3"/>
  <c r="G13" i="3" s="1"/>
  <c r="E14" i="3"/>
  <c r="G14" i="3" s="1"/>
  <c r="E15" i="3"/>
  <c r="G15" i="3" s="1"/>
  <c r="E16" i="3"/>
  <c r="G16" i="3" s="1"/>
  <c r="E17" i="3"/>
  <c r="E18" i="3"/>
  <c r="E19" i="3"/>
  <c r="G19" i="3" s="1"/>
  <c r="E20" i="3"/>
  <c r="G20" i="3" s="1"/>
  <c r="E21" i="3"/>
  <c r="G21" i="3" s="1"/>
  <c r="E22" i="3"/>
  <c r="G22" i="3" s="1"/>
  <c r="E23" i="3"/>
  <c r="G23" i="3" s="1"/>
  <c r="E24" i="3"/>
  <c r="G24" i="3" s="1"/>
  <c r="C4" i="3"/>
  <c r="E4" i="3" s="1"/>
  <c r="G4" i="3" s="1"/>
  <c r="E27" i="2"/>
  <c r="D5" i="3" s="1"/>
  <c r="E5" i="3" s="1"/>
  <c r="E15" i="2"/>
  <c r="I33" i="1"/>
  <c r="P4" i="1"/>
  <c r="P26" i="1" s="1"/>
  <c r="N26" i="1"/>
  <c r="O26" i="1"/>
  <c r="M26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5" i="1"/>
  <c r="I32" i="1" s="1"/>
  <c r="D10" i="1"/>
  <c r="Q4" i="1" l="1"/>
  <c r="H4" i="3"/>
  <c r="H5" i="3" s="1"/>
  <c r="D6" i="3"/>
  <c r="E6" i="3" s="1"/>
  <c r="G6" i="3" s="1"/>
  <c r="Q6" i="3" s="1"/>
  <c r="C32" i="3" s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K6" i="3" l="1"/>
  <c r="C30" i="3" s="1"/>
  <c r="K7" i="3"/>
  <c r="N6" i="3"/>
  <c r="C31" i="3" s="1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Q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tc={A04EED6A-01DA-294C-B7B1-7AE0CD939F78}</author>
  </authors>
  <commentList>
    <comment ref="H5" authorId="0" shapeId="0" xr:uid="{A04EED6A-01DA-294C-B7B1-7AE0CD939F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Remaining 5 ha to forage/legumes</t>
      </text>
    </comment>
  </commentList>
</comments>
</file>

<file path=xl/sharedStrings.xml><?xml version="1.0" encoding="utf-8"?>
<sst xmlns="http://schemas.openxmlformats.org/spreadsheetml/2006/main" count="603" uniqueCount="324">
  <si>
    <t>Self-consumed electricity savings</t>
  </si>
  <si>
    <t>133 882 kWh × €0.25/kWh</t>
  </si>
  <si>
    <t>Digestate / fertiliser substitution</t>
  </si>
  <si>
    <t>33.45 t × €400/t</t>
  </si>
  <si>
    <t>Avoided-emissions value</t>
  </si>
  <si>
    <t>156.4 t CO₂e × €70/t</t>
  </si>
  <si>
    <t>Gross annual benefit</t>
  </si>
  <si>
    <t>O&amp;M (Demonstrator, 4 % of €95k)</t>
  </si>
  <si>
    <t>O&amp;M (EPC prototype, 4 % of €185k)</t>
  </si>
  <si>
    <t>O&amp;M (Bankable, 4 % of €265k)</t>
  </si>
  <si>
    <t>Capex</t>
  </si>
  <si>
    <t>Year</t>
  </si>
  <si>
    <t>Total</t>
  </si>
  <si>
    <t>Revenue</t>
  </si>
  <si>
    <t xml:space="preserve">Discount rate </t>
  </si>
  <si>
    <t>NPV</t>
  </si>
  <si>
    <t>OPEX</t>
  </si>
  <si>
    <t>Cash Flow</t>
  </si>
  <si>
    <t>Cumilative Cashflow</t>
  </si>
  <si>
    <t>IRR</t>
  </si>
  <si>
    <t>Cost element</t>
  </si>
  <si>
    <t>Solar PV (50 kWp)</t>
  </si>
  <si>
    <t>BESS</t>
  </si>
  <si>
    <t>Digester + CHP</t>
  </si>
  <si>
    <t>Controls and instrumentation</t>
  </si>
  <si>
    <t>BoP, install, contingency</t>
  </si>
  <si>
    <t>Total CAPEX</t>
  </si>
  <si>
    <t>Item</t>
  </si>
  <si>
    <t>Indicative cost (€)</t>
  </si>
  <si>
    <t>Solar PV modules and mounting</t>
  </si>
  <si>
    <t>MPPT controllers and hybrid inverter</t>
  </si>
  <si>
    <t>Lithium-ion BESS</t>
  </si>
  <si>
    <t>Distribution, metering and HVAC</t>
  </si>
  <si>
    <t>Micro-CHP engine (biogas)</t>
  </si>
  <si>
    <t>Subsystem subtotal</t>
  </si>
  <si>
    <t xml:space="preserve">Energy conversion subsystem </t>
  </si>
  <si>
    <t>Feedstock intake, mixing pit and screen</t>
  </si>
  <si>
    <t>Chopper and slurry feed pumps</t>
  </si>
  <si>
    <t>Tubular digester (installed)</t>
  </si>
  <si>
    <t>Gas conditioning, regulator and flare</t>
  </si>
  <si>
    <t>Solid–liquid separator</t>
  </si>
  <si>
    <t>Digestate storage and thermal manifold</t>
  </si>
  <si>
    <t>Rainwater tank and booster pump</t>
  </si>
  <si>
    <t>Biochemical, thermal, water and digestate subsystem</t>
  </si>
  <si>
    <t>PLC, HMI and IIoT/cellular gateway</t>
  </si>
  <si>
    <t>Process instrumentation</t>
  </si>
  <si>
    <t>Energy meters, VFDs and battery monitor</t>
  </si>
  <si>
    <t>Actuated valves, gas safety and engine control</t>
  </si>
  <si>
    <t>Control, telemetry and instrumentation subsystem</t>
  </si>
  <si>
    <t>labour, installation, commissioning, contingency, and VAT</t>
  </si>
  <si>
    <t>FINAL CAPEX For On ground System</t>
  </si>
  <si>
    <t>Euros (€)</t>
  </si>
  <si>
    <t>OPEX Considering a general 4% of CAPEX</t>
  </si>
  <si>
    <t>Cash-flow component</t>
  </si>
  <si>
    <t>Value (€/yr)</t>
  </si>
  <si>
    <t>Calculation</t>
  </si>
  <si>
    <t>CAPEX</t>
  </si>
  <si>
    <t>EXPENSE</t>
  </si>
  <si>
    <t>REVENUE</t>
  </si>
  <si>
    <t>CASH FLOW</t>
  </si>
  <si>
    <t>CUMILATIVE CASH FLOW</t>
  </si>
  <si>
    <t>Discount Rate</t>
  </si>
  <si>
    <t>Label</t>
  </si>
  <si>
    <t>Value</t>
  </si>
  <si>
    <t>Unit</t>
  </si>
  <si>
    <t xml:space="preserve">Notes </t>
  </si>
  <si>
    <t>Source</t>
  </si>
  <si>
    <t>Total area</t>
  </si>
  <si>
    <t>ha</t>
  </si>
  <si>
    <t>Cultivated area</t>
  </si>
  <si>
    <t>Area for cows</t>
  </si>
  <si>
    <t>Area for pigs</t>
  </si>
  <si>
    <t>Area for chickens</t>
  </si>
  <si>
    <t>Number of cows</t>
  </si>
  <si>
    <t>head count</t>
  </si>
  <si>
    <t>✅</t>
  </si>
  <si>
    <t>Number of pigs</t>
  </si>
  <si>
    <t>Number of chickens</t>
  </si>
  <si>
    <t>Milk yield per cow</t>
  </si>
  <si>
    <t>kg/year</t>
  </si>
  <si>
    <t>Total Milk yield</t>
  </si>
  <si>
    <t>Milk EF</t>
  </si>
  <si>
    <t>kg CO₂e per kg</t>
  </si>
  <si>
    <t>Crop yield</t>
  </si>
  <si>
    <t>Diesel price</t>
  </si>
  <si>
    <t>Electriciy price</t>
  </si>
  <si>
    <t>€/kWh</t>
  </si>
  <si>
    <t>farm as a commercial user</t>
  </si>
  <si>
    <t>FiB total annual electricity</t>
  </si>
  <si>
    <t>kWh/year</t>
  </si>
  <si>
    <t>European average grid intensity</t>
  </si>
  <si>
    <t>kgCO₂e/kWh</t>
  </si>
  <si>
    <t>Grid export revenue</t>
  </si>
  <si>
    <t>sits between low Belgian surplus tariffs (~0.03 €/kWh) and German/Italian small‑PV FiTs (0.07–0.12 €/kWh)</t>
  </si>
  <si>
    <t>Grid export limit</t>
  </si>
  <si>
    <t>kW</t>
  </si>
  <si>
    <t>Carbon price high</t>
  </si>
  <si>
    <t>€/tCO₂ avoided</t>
  </si>
  <si>
    <t>Carbon price low</t>
  </si>
  <si>
    <t>Crop</t>
  </si>
  <si>
    <t>Area 
allocated (ha)</t>
  </si>
  <si>
    <t>Yield 
(tonnes/ha/year)</t>
  </si>
  <si>
    <t>Total production 
(tonnes/year)</t>
  </si>
  <si>
    <t>EF (kg CO₂e/kg)</t>
  </si>
  <si>
    <t>Total 
Emissions (t CO₂e)</t>
  </si>
  <si>
    <t>Nitrogen requirement (kg/ha)</t>
  </si>
  <si>
    <t>Phosphorus requirement (kg/ha)</t>
  </si>
  <si>
    <t>Potassium requirement (kg/ha)</t>
  </si>
  <si>
    <t>Fertilizer use rate (t/ha)</t>
  </si>
  <si>
    <t>Total fertilizer use (tonnes)</t>
  </si>
  <si>
    <t>Wheat</t>
  </si>
  <si>
    <t>Grain maize</t>
  </si>
  <si>
    <t>Rapeseed</t>
  </si>
  <si>
    <t>NPK equivalent</t>
  </si>
  <si>
    <t>Notes</t>
  </si>
  <si>
    <t>Cow manure per day</t>
  </si>
  <si>
    <t>kg/day</t>
  </si>
  <si>
    <t>Pig manure per day</t>
  </si>
  <si>
    <t>N_res</t>
  </si>
  <si>
    <t>kg/ha</t>
  </si>
  <si>
    <t>Chicken manure per day</t>
  </si>
  <si>
    <t>P_res</t>
  </si>
  <si>
    <t>Total cow manure per year</t>
  </si>
  <si>
    <t>tonnes/year</t>
  </si>
  <si>
    <t>K_res</t>
  </si>
  <si>
    <t>Total pig manure per year</t>
  </si>
  <si>
    <t>16‑16‑16 needed per ha:</t>
  </si>
  <si>
    <t>Total chicken manure per year</t>
  </si>
  <si>
    <t>N</t>
  </si>
  <si>
    <t>t/ha</t>
  </si>
  <si>
    <t>Total manure per year</t>
  </si>
  <si>
    <t>P</t>
  </si>
  <si>
    <t>K</t>
  </si>
  <si>
    <t>Rate</t>
  </si>
  <si>
    <t>Total fertilizer needed after digestate</t>
  </si>
  <si>
    <t>t/year</t>
  </si>
  <si>
    <t>Cow biogas yield</t>
  </si>
  <si>
    <t>m³/kg manure</t>
  </si>
  <si>
    <t>Pig biogas yield</t>
  </si>
  <si>
    <t>New fertiliser cost</t>
  </si>
  <si>
    <t>€/year</t>
  </si>
  <si>
    <t>Chicken biogas yield</t>
  </si>
  <si>
    <t>Daily biogas from cow</t>
  </si>
  <si>
    <t>m³/day</t>
  </si>
  <si>
    <t>Daily biogas from pig</t>
  </si>
  <si>
    <t>Daily biogas from chicken</t>
  </si>
  <si>
    <t>Cow VS excretion rate</t>
  </si>
  <si>
    <t>kg VS/1000kg AM/day</t>
  </si>
  <si>
    <t>Total daily biogas</t>
  </si>
  <si>
    <t>Pig VS excretion rate</t>
  </si>
  <si>
    <t>Solar panel power</t>
  </si>
  <si>
    <t>W</t>
  </si>
  <si>
    <t>Annual biogas</t>
  </si>
  <si>
    <t>m³/year</t>
  </si>
  <si>
    <t>Chicken VS excretion rate</t>
  </si>
  <si>
    <t>Dimensions</t>
  </si>
  <si>
    <t>m²</t>
  </si>
  <si>
    <t>1.72 m × 1.13 m ≈ 1.95 m²</t>
  </si>
  <si>
    <t>Energy in biogas</t>
  </si>
  <si>
    <t>kWh/m³ of biogas</t>
  </si>
  <si>
    <t>standard calorific value</t>
  </si>
  <si>
    <t>Cow Nitrogen excretion rate</t>
  </si>
  <si>
    <t>kg N/1000kg AM/day</t>
  </si>
  <si>
    <t>Area per kWp</t>
  </si>
  <si>
    <t>m²/kWp</t>
  </si>
  <si>
    <t>Generator efficiency</t>
  </si>
  <si>
    <t>%</t>
  </si>
  <si>
    <t>typical small-farm CHP unit</t>
  </si>
  <si>
    <t>Pig Nitrogen excretion rate</t>
  </si>
  <si>
    <t>Solar panel area</t>
  </si>
  <si>
    <t>Raw electricity output</t>
  </si>
  <si>
    <t>Chicken Nitrogen excretion rate</t>
  </si>
  <si>
    <t>Solar panel efficiency</t>
  </si>
  <si>
    <t>20.8 % Trina Solar Vertex S 400 W module  monocrystalline panel</t>
  </si>
  <si>
    <t>Parasitic fraction</t>
  </si>
  <si>
    <t>Assumed winter temperature to be 0 deg. Can work with other options in sensitivity analysis</t>
  </si>
  <si>
    <t>Cow weight</t>
  </si>
  <si>
    <t>kg</t>
  </si>
  <si>
    <t>Default solar irradiance</t>
  </si>
  <si>
    <t>kWh/m²/day</t>
  </si>
  <si>
    <t xml:space="preserve"> 1280 kWh/m²/year, between north and south EU, consistent with PVGIS ranges</t>
  </si>
  <si>
    <t>Net electricity output</t>
  </si>
  <si>
    <t>Pig weight</t>
  </si>
  <si>
    <t>Annual solar output</t>
  </si>
  <si>
    <t>Chicken weight</t>
  </si>
  <si>
    <t>Peak power of panels</t>
  </si>
  <si>
    <t>kWp</t>
  </si>
  <si>
    <t>Cow Annual VS</t>
  </si>
  <si>
    <t>kg VS/year</t>
  </si>
  <si>
    <t>Recommended battery</t>
  </si>
  <si>
    <t>kWh</t>
  </si>
  <si>
    <t>The 1:3 ratio (kWp to kWh) is a common industry guideline for farms wanting to maximise overnight self-consumption</t>
  </si>
  <si>
    <t>Pig Annual VS</t>
  </si>
  <si>
    <t>PV capacity factor (Grid export CF)</t>
  </si>
  <si>
    <t>Annual generation 2,750 TWh ÷ (Rooftop PV potential 2.3 TW × 8,760 h)</t>
  </si>
  <si>
    <t>Total N</t>
  </si>
  <si>
    <t>kg N/m³</t>
  </si>
  <si>
    <t>Chicken Annual VS</t>
  </si>
  <si>
    <t>Total P₂O₅</t>
  </si>
  <si>
    <t>kg P₂O₅/m³</t>
  </si>
  <si>
    <t>Cow Annual N</t>
  </si>
  <si>
    <t>kg N/year</t>
  </si>
  <si>
    <t>Total K₂O</t>
  </si>
  <si>
    <t>kg K₂O/m³</t>
  </si>
  <si>
    <t>Pig Annual N</t>
  </si>
  <si>
    <t>N from digestate per ha</t>
  </si>
  <si>
    <t>kg N/ha</t>
  </si>
  <si>
    <t>Chicken Annual N</t>
  </si>
  <si>
    <t>Fertilized area</t>
  </si>
  <si>
    <t>P₂O₅ from digestate per ha</t>
  </si>
  <si>
    <t>kg P₂O₅/ha</t>
  </si>
  <si>
    <t>Total annual excretion VS</t>
  </si>
  <si>
    <t>Fertilizer grade reference</t>
  </si>
  <si>
    <t>16‑16‑16</t>
  </si>
  <si>
    <t>K₂O from digestate per ha</t>
  </si>
  <si>
    <t>kg K₂O/ha</t>
  </si>
  <si>
    <t>Total annual excretion N</t>
  </si>
  <si>
    <t>Fertilizer Nutrients</t>
  </si>
  <si>
    <t>160 kg N, 160 kg P₂O₅, 160 kg K₂O</t>
  </si>
  <si>
    <t>per tonne</t>
  </si>
  <si>
    <t>METHANE CONVERSION FACTOR</t>
  </si>
  <si>
    <t>28 %</t>
  </si>
  <si>
    <t>Fertilizer Price</t>
  </si>
  <si>
    <t>€/tonnes</t>
  </si>
  <si>
    <t>Cow Maximum methane producing capacity</t>
  </si>
  <si>
    <t>m³ CH4/kg VS</t>
  </si>
  <si>
    <t>Fertilizer emission factor</t>
  </si>
  <si>
    <t>tCO₂e/t</t>
  </si>
  <si>
    <t>Pig Maximum methane producing capacity</t>
  </si>
  <si>
    <t>Fertilizer required per ha</t>
  </si>
  <si>
    <t>tonnes/ha</t>
  </si>
  <si>
    <t>Digester working volume</t>
  </si>
  <si>
    <t>m³</t>
  </si>
  <si>
    <t>Chicken Maximum methane producing capacity</t>
  </si>
  <si>
    <t>Total fertilizer required per year</t>
  </si>
  <si>
    <t>HRT</t>
  </si>
  <si>
    <t>days</t>
  </si>
  <si>
    <t>Cow CH4 year</t>
  </si>
  <si>
    <t>t CH4/year</t>
  </si>
  <si>
    <t>Total fertilizer price</t>
  </si>
  <si>
    <t>Daily slurry feed</t>
  </si>
  <si>
    <t>Pig CH4 year</t>
  </si>
  <si>
    <t>Total nutrients used on tillage crops</t>
  </si>
  <si>
    <t>Daily manure feed</t>
  </si>
  <si>
    <t>t/day</t>
  </si>
  <si>
    <t>With 1:1 manure:water dilution and slurry density 1 t/m³</t>
  </si>
  <si>
    <t>Chicken CH4 year</t>
  </si>
  <si>
    <t>Medium soil actual fertilizer use</t>
  </si>
  <si>
    <t>scaled to 0.45 to represent medium‑fertility (Index 2) European arable soils, consistent with RB209 and the British Survey of Fertiliser Practice, where typical NPK applications on tillage crops are ~200 kg nutrients/ha (~400 kg NPK 16‑16‑16 product/ha)</t>
  </si>
  <si>
    <t>40% substituted by manure</t>
  </si>
  <si>
    <t>Manure processed after steady state</t>
  </si>
  <si>
    <t>Total CH4</t>
  </si>
  <si>
    <t>Subsituting digestate instead of manure</t>
  </si>
  <si>
    <t>50% substituted by digestate</t>
  </si>
  <si>
    <t>Percentage of manure handled</t>
  </si>
  <si>
    <t>N2O from manure applied to soils EF</t>
  </si>
  <si>
    <t>kg N2O-N per kg N</t>
  </si>
  <si>
    <t>New fertilizer cost</t>
  </si>
  <si>
    <t>Initial 50 days total manure fed</t>
  </si>
  <si>
    <t>tonnes</t>
  </si>
  <si>
    <t xml:space="preserve">N2O </t>
  </si>
  <si>
    <t>t N2O/year</t>
  </si>
  <si>
    <t>Digestate produced</t>
  </si>
  <si>
    <t>litres/year</t>
  </si>
  <si>
    <t>10 litres per m3 produced</t>
  </si>
  <si>
    <t>Total manure fed</t>
  </si>
  <si>
    <t>100 GWP CH4</t>
  </si>
  <si>
    <t>t CO2e/t CH4</t>
  </si>
  <si>
    <t>Digestate volume</t>
  </si>
  <si>
    <t>Total manure unprocessed</t>
  </si>
  <si>
    <t>100 GWP N2O</t>
  </si>
  <si>
    <t>t CO2e/t N2O</t>
  </si>
  <si>
    <t>Digestate requried per ha</t>
  </si>
  <si>
    <t>m³/ha/year</t>
  </si>
  <si>
    <t>CH4 in terms of CO2e</t>
  </si>
  <si>
    <t>t CO2e/year</t>
  </si>
  <si>
    <t>Fertilizer cost savings</t>
  </si>
  <si>
    <t>N2O in terms of CO2e</t>
  </si>
  <si>
    <t>For FiB case for unprocessed manure scaled to 40% becasue manure is reduced by 40%</t>
  </si>
  <si>
    <t>Labels</t>
  </si>
  <si>
    <t>Values</t>
  </si>
  <si>
    <t xml:space="preserve">Units </t>
  </si>
  <si>
    <t>Fuel per unit per year</t>
  </si>
  <si>
    <t>Total Fuel value</t>
  </si>
  <si>
    <t>Fuel type</t>
  </si>
  <si>
    <t>Livestock Energy Use</t>
  </si>
  <si>
    <t>Dairy cow</t>
  </si>
  <si>
    <t>kWh/yr</t>
  </si>
  <si>
    <t>Diesel</t>
  </si>
  <si>
    <t>Milking, ventilation, lighting, cooling</t>
  </si>
  <si>
    <t>Pig</t>
  </si>
  <si>
    <t>Ventilation, lighting, feeding systems</t>
  </si>
  <si>
    <t>Chicken</t>
  </si>
  <si>
    <t>Lighting, ventilation</t>
  </si>
  <si>
    <t>Corn/Maize</t>
  </si>
  <si>
    <t>Crop Processing Energy</t>
  </si>
  <si>
    <t>Base rate</t>
  </si>
  <si>
    <t>kWh/tonne</t>
  </si>
  <si>
    <t>Seasonal adjustment</t>
  </si>
  <si>
    <t>Active for 9 out of 12 months → multiply by 9/12</t>
  </si>
  <si>
    <t>Total Fuel demand</t>
  </si>
  <si>
    <t>Crop processing energy (kWh)</t>
  </si>
  <si>
    <t>Irrigation Energy by Crop</t>
  </si>
  <si>
    <t>Rice</t>
  </si>
  <si>
    <t>kWh/ha·yr</t>
  </si>
  <si>
    <t>Potatoes</t>
  </si>
  <si>
    <t xml:space="preserve">Diesel </t>
  </si>
  <si>
    <t>kWh/L</t>
  </si>
  <si>
    <t>electric sprinkler, groundwater</t>
  </si>
  <si>
    <t xml:space="preserve">LPG/propane </t>
  </si>
  <si>
    <t>Barley</t>
  </si>
  <si>
    <t xml:space="preserve">Kerosene </t>
  </si>
  <si>
    <t>either rainfed (0) or 500–800 kWh/ha in dry regions</t>
  </si>
  <si>
    <t>approximate from wheat values</t>
  </si>
  <si>
    <t>Sunflower</t>
  </si>
  <si>
    <t>Olives</t>
  </si>
  <si>
    <t xml:space="preserve">Annual direct on-farm energy split into ELECTRICITY (grid/power) and FUEL (diesel / LPG-propane / kerosene). Figures are research-based estimates from EU &amp; comparable literature applied to this farm's headcounts and areas. Excludes indirect (embodied) energy in fertiliser &amp; feed. Edit blue input cells to re-scale.                                                                </t>
  </si>
  <si>
    <t>Other crops</t>
  </si>
  <si>
    <t>Total irrigation energy</t>
  </si>
  <si>
    <t>Base Infrastructure</t>
  </si>
  <si>
    <t>Fixed annual load</t>
  </si>
  <si>
    <t>Office equipment, security lighting, gate motors, workshop tools</t>
  </si>
  <si>
    <t>This according to source is around 10% of annual energy demand. Calculated using other values</t>
  </si>
  <si>
    <t>Total Energy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</si>
</sst>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14"/>
      <color rgb="FFFFFFFF"/>
      <name val="Times New Roman"/>
      <family val="1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rgb="FF000000"/>
      <name val="Times New Roman"/>
      <family val="1"/>
    </font>
    <font>
      <sz val="12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Tahoma"/>
      <family val="2"/>
    </font>
    <font>
      <b/>
      <sz val="10"/>
      <color rgb="FF1A1A1A"/>
      <name val="Aptos Narrow"/>
      <family val="2"/>
      <scheme val="minor"/>
    </font>
    <font>
      <sz val="10"/>
      <color rgb="FF1A1A1A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D2B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B463C"/>
        <bgColor rgb="FFBB463C"/>
      </patternFill>
    </fill>
    <fill>
      <patternFill patternType="solid">
        <fgColor rgb="FF91C04F"/>
        <bgColor rgb="FF91C04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3EFD3"/>
        <bgColor rgb="FFE3EFD3"/>
      </patternFill>
    </fill>
    <fill>
      <patternFill patternType="solid">
        <fgColor rgb="FF356854"/>
        <bgColor rgb="FF356854"/>
      </patternFill>
    </fill>
    <fill>
      <patternFill patternType="solid">
        <fgColor rgb="FFC76614"/>
        <bgColor rgb="FFC76614"/>
      </patternFill>
    </fill>
  </fills>
  <borders count="18">
    <border>
      <left/>
      <right/>
      <top/>
      <bottom/>
      <diagonal/>
    </border>
    <border>
      <left style="medium">
        <color rgb="FF9AA7BD"/>
      </left>
      <right style="medium">
        <color rgb="FF9AA7BD"/>
      </right>
      <top style="medium">
        <color rgb="FF9AA7BD"/>
      </top>
      <bottom style="medium">
        <color rgb="FF9AA7BD"/>
      </bottom>
      <diagonal/>
    </border>
    <border>
      <left/>
      <right style="medium">
        <color rgb="FF9AA7BD"/>
      </right>
      <top style="medium">
        <color rgb="FF9AA7BD"/>
      </top>
      <bottom style="medium">
        <color rgb="FF9AA7BD"/>
      </bottom>
      <diagonal/>
    </border>
    <border>
      <left style="medium">
        <color rgb="FF9AA7BD"/>
      </left>
      <right style="medium">
        <color rgb="FF9AA7BD"/>
      </right>
      <top/>
      <bottom style="medium">
        <color rgb="FF9AA7BD"/>
      </bottom>
      <diagonal/>
    </border>
    <border>
      <left/>
      <right style="medium">
        <color rgb="FF9AA7BD"/>
      </right>
      <top/>
      <bottom style="medium">
        <color rgb="FF9AA7BD"/>
      </bottom>
      <diagonal/>
    </border>
    <border>
      <left/>
      <right/>
      <top style="medium">
        <color rgb="FF9AA7BD"/>
      </top>
      <bottom style="medium">
        <color rgb="FF9AA7BD"/>
      </bottom>
      <diagonal/>
    </border>
    <border>
      <left style="medium">
        <color rgb="FF9AA7BD"/>
      </left>
      <right/>
      <top style="medium">
        <color rgb="FF9AA7BD"/>
      </top>
      <bottom style="medium">
        <color rgb="FF9AA7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BB463C"/>
      </bottom>
      <diagonal/>
    </border>
    <border>
      <left style="thin">
        <color rgb="FFBB463C"/>
      </left>
      <right/>
      <top style="thin">
        <color rgb="FFBB463C"/>
      </top>
      <bottom/>
      <diagonal/>
    </border>
    <border>
      <left/>
      <right/>
      <top style="thin">
        <color rgb="FFBB463C"/>
      </top>
      <bottom/>
      <diagonal/>
    </border>
    <border>
      <left/>
      <right style="thin">
        <color rgb="FFBB463C"/>
      </right>
      <top style="thin">
        <color rgb="FFBB463C"/>
      </top>
      <bottom/>
      <diagonal/>
    </border>
    <border>
      <left style="thin">
        <color rgb="FFBB463C"/>
      </left>
      <right/>
      <top style="thin">
        <color rgb="FF000000"/>
      </top>
      <bottom style="thin">
        <color rgb="FFBB463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0" fontId="12" fillId="0" borderId="0"/>
  </cellStyleXfs>
  <cellXfs count="99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3" fontId="0" fillId="0" borderId="0" xfId="0" applyNumberFormat="1"/>
    <xf numFmtId="3" fontId="3" fillId="2" borderId="2" xfId="0" applyNumberFormat="1" applyFont="1" applyFill="1" applyBorder="1" applyAlignment="1">
      <alignment horizontal="righ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3" fontId="3" fillId="2" borderId="4" xfId="0" applyNumberFormat="1" applyFont="1" applyFill="1" applyBorder="1" applyAlignment="1">
      <alignment horizontal="righ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right" vertical="center" wrapText="1" indent="1"/>
    </xf>
    <xf numFmtId="9" fontId="0" fillId="0" borderId="0" xfId="0" applyNumberFormat="1"/>
    <xf numFmtId="2" fontId="0" fillId="0" borderId="0" xfId="0" applyNumberFormat="1"/>
    <xf numFmtId="43" fontId="0" fillId="0" borderId="0" xfId="1" applyFont="1"/>
    <xf numFmtId="0" fontId="4" fillId="3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3" fontId="3" fillId="2" borderId="4" xfId="0" applyNumberFormat="1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left" vertical="center" wrapText="1" indent="1"/>
    </xf>
    <xf numFmtId="0" fontId="5" fillId="3" borderId="6" xfId="0" applyFont="1" applyFill="1" applyBorder="1" applyAlignment="1">
      <alignment horizontal="center" vertical="top" wrapText="1"/>
    </xf>
    <xf numFmtId="3" fontId="8" fillId="0" borderId="0" xfId="0" applyNumberFormat="1" applyFont="1"/>
    <xf numFmtId="164" fontId="8" fillId="0" borderId="0" xfId="1" applyNumberFormat="1" applyFont="1"/>
    <xf numFmtId="0" fontId="9" fillId="4" borderId="3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  <xf numFmtId="0" fontId="6" fillId="0" borderId="0" xfId="0" applyFont="1" applyAlignment="1">
      <alignment horizontal="center" vertical="top"/>
    </xf>
    <xf numFmtId="4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4" fontId="7" fillId="0" borderId="0" xfId="0" applyNumberFormat="1" applyFont="1" applyAlignment="1">
      <alignment horizontal="center" vertical="top"/>
    </xf>
    <xf numFmtId="9" fontId="7" fillId="0" borderId="0" xfId="0" applyNumberFormat="1" applyFont="1" applyAlignment="1">
      <alignment horizontal="center" vertical="top"/>
    </xf>
    <xf numFmtId="0" fontId="10" fillId="0" borderId="0" xfId="0" applyFont="1"/>
    <xf numFmtId="0" fontId="11" fillId="5" borderId="8" xfId="2" applyFont="1" applyFill="1" applyBorder="1" applyAlignment="1">
      <alignment horizontal="left"/>
    </xf>
    <xf numFmtId="0" fontId="13" fillId="5" borderId="9" xfId="2" applyFont="1" applyFill="1" applyBorder="1" applyAlignment="1">
      <alignment horizontal="left" vertical="center"/>
    </xf>
    <xf numFmtId="0" fontId="12" fillId="0" borderId="0" xfId="2"/>
    <xf numFmtId="0" fontId="13" fillId="6" borderId="8" xfId="2" applyFont="1" applyFill="1" applyBorder="1" applyAlignment="1">
      <alignment horizontal="left" vertical="center"/>
    </xf>
    <xf numFmtId="0" fontId="13" fillId="6" borderId="9" xfId="2" applyFont="1" applyFill="1" applyBorder="1" applyAlignment="1">
      <alignment horizontal="left" vertical="center"/>
    </xf>
    <xf numFmtId="0" fontId="14" fillId="7" borderId="8" xfId="2" applyFont="1" applyFill="1" applyBorder="1" applyAlignment="1">
      <alignment vertical="center"/>
    </xf>
    <xf numFmtId="0" fontId="14" fillId="7" borderId="9" xfId="2" applyFont="1" applyFill="1" applyBorder="1" applyAlignment="1">
      <alignment vertical="center"/>
    </xf>
    <xf numFmtId="0" fontId="14" fillId="8" borderId="8" xfId="2" applyFont="1" applyFill="1" applyBorder="1" applyAlignment="1">
      <alignment vertical="center"/>
    </xf>
    <xf numFmtId="0" fontId="14" fillId="8" borderId="9" xfId="2" applyFont="1" applyFill="1" applyBorder="1" applyAlignment="1">
      <alignment vertical="center"/>
    </xf>
    <xf numFmtId="0" fontId="14" fillId="9" borderId="10" xfId="2" applyFont="1" applyFill="1" applyBorder="1" applyAlignment="1">
      <alignment vertical="center"/>
    </xf>
    <xf numFmtId="0" fontId="14" fillId="9" borderId="7" xfId="2" applyFont="1" applyFill="1" applyBorder="1" applyAlignment="1">
      <alignment vertical="center"/>
    </xf>
    <xf numFmtId="0" fontId="13" fillId="0" borderId="10" xfId="2" applyFont="1" applyBorder="1"/>
    <xf numFmtId="0" fontId="15" fillId="0" borderId="11" xfId="2" applyFont="1" applyBorder="1"/>
    <xf numFmtId="0" fontId="15" fillId="0" borderId="12" xfId="2" applyFont="1" applyBorder="1"/>
    <xf numFmtId="0" fontId="13" fillId="0" borderId="0" xfId="2" applyFont="1" applyAlignment="1">
      <alignment horizontal="left" vertical="center"/>
    </xf>
    <xf numFmtId="0" fontId="13" fillId="0" borderId="7" xfId="2" applyFont="1" applyBorder="1"/>
    <xf numFmtId="0" fontId="14" fillId="0" borderId="7" xfId="2" applyFont="1" applyBorder="1" applyAlignment="1">
      <alignment vertical="center"/>
    </xf>
    <xf numFmtId="0" fontId="14" fillId="0" borderId="7" xfId="2" applyFont="1" applyBorder="1"/>
    <xf numFmtId="0" fontId="13" fillId="10" borderId="8" xfId="2" applyFont="1" applyFill="1" applyBorder="1" applyAlignment="1">
      <alignment horizontal="left" vertical="center"/>
    </xf>
    <xf numFmtId="0" fontId="13" fillId="10" borderId="9" xfId="2" applyFont="1" applyFill="1" applyBorder="1" applyAlignment="1">
      <alignment horizontal="left" vertical="center"/>
    </xf>
    <xf numFmtId="0" fontId="14" fillId="8" borderId="10" xfId="2" applyFont="1" applyFill="1" applyBorder="1" applyAlignment="1">
      <alignment vertical="center"/>
    </xf>
    <xf numFmtId="0" fontId="14" fillId="8" borderId="13" xfId="2" applyFont="1" applyFill="1" applyBorder="1" applyAlignment="1">
      <alignment vertical="center"/>
    </xf>
    <xf numFmtId="0" fontId="14" fillId="8" borderId="7" xfId="2" applyFont="1" applyFill="1" applyBorder="1" applyAlignment="1">
      <alignment vertical="center"/>
    </xf>
    <xf numFmtId="0" fontId="13" fillId="11" borderId="14" xfId="2" applyFont="1" applyFill="1" applyBorder="1" applyAlignment="1">
      <alignment horizontal="left" vertical="center"/>
    </xf>
    <xf numFmtId="0" fontId="13" fillId="11" borderId="15" xfId="2" applyFont="1" applyFill="1" applyBorder="1" applyAlignment="1">
      <alignment horizontal="left" vertical="center"/>
    </xf>
    <xf numFmtId="0" fontId="13" fillId="11" borderId="16" xfId="2" applyFont="1" applyFill="1" applyBorder="1" applyAlignment="1">
      <alignment horizontal="left" vertical="center"/>
    </xf>
    <xf numFmtId="0" fontId="14" fillId="7" borderId="10" xfId="2" applyFont="1" applyFill="1" applyBorder="1" applyAlignment="1">
      <alignment vertical="center"/>
    </xf>
    <xf numFmtId="0" fontId="14" fillId="7" borderId="7" xfId="2" applyFont="1" applyFill="1" applyBorder="1" applyAlignment="1">
      <alignment vertical="center"/>
    </xf>
    <xf numFmtId="0" fontId="13" fillId="10" borderId="14" xfId="2" applyFont="1" applyFill="1" applyBorder="1" applyAlignment="1">
      <alignment horizontal="left" vertical="center"/>
    </xf>
    <xf numFmtId="0" fontId="13" fillId="10" borderId="15" xfId="2" applyFont="1" applyFill="1" applyBorder="1" applyAlignment="1">
      <alignment horizontal="left" vertical="center"/>
    </xf>
    <xf numFmtId="0" fontId="13" fillId="10" borderId="16" xfId="2" applyFont="1" applyFill="1" applyBorder="1" applyAlignment="1">
      <alignment horizontal="left" vertical="center"/>
    </xf>
    <xf numFmtId="0" fontId="11" fillId="10" borderId="14" xfId="3" applyFont="1" applyFill="1" applyBorder="1" applyAlignment="1">
      <alignment horizontal="left"/>
    </xf>
    <xf numFmtId="0" fontId="11" fillId="10" borderId="15" xfId="3" applyFont="1" applyFill="1" applyBorder="1" applyAlignment="1">
      <alignment horizontal="left"/>
    </xf>
    <xf numFmtId="0" fontId="14" fillId="10" borderId="16" xfId="3" applyFont="1" applyFill="1" applyBorder="1" applyAlignment="1">
      <alignment horizontal="left" vertical="center"/>
    </xf>
    <xf numFmtId="0" fontId="12" fillId="0" borderId="0" xfId="3"/>
    <xf numFmtId="0" fontId="14" fillId="10" borderId="14" xfId="3" applyFont="1" applyFill="1" applyBorder="1" applyAlignment="1">
      <alignment horizontal="left" vertical="center"/>
    </xf>
    <xf numFmtId="0" fontId="14" fillId="10" borderId="15" xfId="3" applyFont="1" applyFill="1" applyBorder="1" applyAlignment="1">
      <alignment horizontal="left" vertical="center"/>
    </xf>
    <xf numFmtId="0" fontId="17" fillId="7" borderId="8" xfId="3" applyFont="1" applyFill="1" applyBorder="1" applyAlignment="1">
      <alignment wrapText="1"/>
    </xf>
    <xf numFmtId="0" fontId="14" fillId="7" borderId="9" xfId="3" applyFont="1" applyFill="1" applyBorder="1" applyAlignment="1">
      <alignment vertical="center"/>
    </xf>
    <xf numFmtId="0" fontId="18" fillId="7" borderId="8" xfId="3" applyFont="1" applyFill="1" applyBorder="1" applyAlignment="1">
      <alignment wrapText="1"/>
    </xf>
    <xf numFmtId="0" fontId="14" fillId="7" borderId="8" xfId="3" applyFont="1" applyFill="1" applyBorder="1" applyAlignment="1">
      <alignment vertical="center"/>
    </xf>
    <xf numFmtId="0" fontId="18" fillId="8" borderId="8" xfId="3" applyFont="1" applyFill="1" applyBorder="1" applyAlignment="1">
      <alignment wrapText="1"/>
    </xf>
    <xf numFmtId="0" fontId="14" fillId="8" borderId="8" xfId="3" applyFont="1" applyFill="1" applyBorder="1"/>
    <xf numFmtId="0" fontId="14" fillId="8" borderId="9" xfId="3" applyFont="1" applyFill="1" applyBorder="1" applyAlignment="1">
      <alignment vertical="center"/>
    </xf>
    <xf numFmtId="0" fontId="14" fillId="8" borderId="8" xfId="3" applyFont="1" applyFill="1" applyBorder="1" applyAlignment="1">
      <alignment vertical="center"/>
    </xf>
    <xf numFmtId="0" fontId="14" fillId="7" borderId="8" xfId="3" applyFont="1" applyFill="1" applyBorder="1"/>
    <xf numFmtId="0" fontId="13" fillId="7" borderId="8" xfId="3" applyFont="1" applyFill="1" applyBorder="1"/>
    <xf numFmtId="0" fontId="18" fillId="7" borderId="8" xfId="3" applyFont="1" applyFill="1" applyBorder="1" applyAlignment="1">
      <alignment horizontal="left" vertical="center" wrapText="1"/>
    </xf>
    <xf numFmtId="0" fontId="13" fillId="7" borderId="17" xfId="3" applyFont="1" applyFill="1" applyBorder="1" applyAlignment="1">
      <alignment vertical="center"/>
    </xf>
    <xf numFmtId="0" fontId="14" fillId="7" borderId="10" xfId="3" applyFont="1" applyFill="1" applyBorder="1" applyAlignment="1">
      <alignment vertical="center"/>
    </xf>
    <xf numFmtId="0" fontId="13" fillId="7" borderId="10" xfId="3" applyFont="1" applyFill="1" applyBorder="1" applyAlignment="1">
      <alignment vertical="center"/>
    </xf>
    <xf numFmtId="0" fontId="14" fillId="7" borderId="7" xfId="3" applyFont="1" applyFill="1" applyBorder="1" applyAlignment="1">
      <alignment vertical="center"/>
    </xf>
    <xf numFmtId="0" fontId="18" fillId="8" borderId="8" xfId="3" applyFont="1" applyFill="1" applyBorder="1" applyAlignment="1">
      <alignment horizontal="left" vertical="center" wrapText="1"/>
    </xf>
    <xf numFmtId="0" fontId="14" fillId="10" borderId="8" xfId="3" applyFont="1" applyFill="1" applyBorder="1" applyAlignment="1">
      <alignment horizontal="left" vertical="center"/>
    </xf>
    <xf numFmtId="0" fontId="14" fillId="10" borderId="9" xfId="3" applyFont="1" applyFill="1" applyBorder="1" applyAlignment="1">
      <alignment horizontal="left" vertical="center"/>
    </xf>
    <xf numFmtId="0" fontId="14" fillId="0" borderId="0" xfId="3" applyFont="1"/>
    <xf numFmtId="0" fontId="13" fillId="7" borderId="8" xfId="3" applyFont="1" applyFill="1" applyBorder="1" applyAlignment="1">
      <alignment vertical="center"/>
    </xf>
    <xf numFmtId="0" fontId="13" fillId="8" borderId="8" xfId="3" applyFont="1" applyFill="1" applyBorder="1"/>
    <xf numFmtId="0" fontId="18" fillId="7" borderId="8" xfId="3" applyFont="1" applyFill="1" applyBorder="1" applyAlignment="1">
      <alignment vertical="center"/>
    </xf>
    <xf numFmtId="0" fontId="13" fillId="8" borderId="10" xfId="3" applyFont="1" applyFill="1" applyBorder="1" applyAlignment="1">
      <alignment vertical="center"/>
    </xf>
    <xf numFmtId="0" fontId="14" fillId="8" borderId="10" xfId="3" applyFont="1" applyFill="1" applyBorder="1" applyAlignment="1">
      <alignment vertical="center"/>
    </xf>
    <xf numFmtId="0" fontId="14" fillId="8" borderId="7" xfId="3" applyFont="1" applyFill="1" applyBorder="1" applyAlignment="1">
      <alignment vertical="center"/>
    </xf>
  </cellXfs>
  <cellStyles count="4">
    <cellStyle name="Comma" xfId="1" builtinId="3"/>
    <cellStyle name="Normal" xfId="0" builtinId="0"/>
    <cellStyle name="Normal 2" xfId="2" xr:uid="{61E33614-D237-FC43-80C2-C08C6E7FD515}"/>
    <cellStyle name="Normal 3" xfId="3" xr:uid="{E66DD70C-40E3-4F46-BBA4-B9B54F122636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12E0A"/>
          <bgColor rgb="FF612E0A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 defaultTableStyle="TableStyleMedium2" defaultPivotStyle="PivotStyleLight16">
    <tableStyle name="Farm Inputs-style 3" pivot="0" count="4" xr9:uid="{A62FFF1D-DBC1-4C40-84C1-9D96DE38C5FC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Sheet1!$L$4:$L$25</c:f>
              <c:numCache>
                <c:formatCode>General</c:formatCode>
                <c:ptCount val="22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8-B841-B77E-53CAF82782FD}"/>
            </c:ext>
          </c:extLst>
        </c:ser>
        <c:ser>
          <c:idx val="1"/>
          <c:order val="1"/>
          <c:tx>
            <c:strRef>
              <c:f>Sheet1!$Q$3</c:f>
              <c:strCache>
                <c:ptCount val="1"/>
                <c:pt idx="0">
                  <c:v>Cumilative Cashflow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Sheet1!$Q$4:$Q$25</c:f>
              <c:numCache>
                <c:formatCode>#,##0</c:formatCode>
                <c:ptCount val="22"/>
                <c:pt idx="0">
                  <c:v>-265000</c:v>
                </c:pt>
                <c:pt idx="1">
                  <c:v>-217804</c:v>
                </c:pt>
                <c:pt idx="2">
                  <c:v>-170608</c:v>
                </c:pt>
                <c:pt idx="3">
                  <c:v>-123412</c:v>
                </c:pt>
                <c:pt idx="4">
                  <c:v>-76216</c:v>
                </c:pt>
                <c:pt idx="5">
                  <c:v>-29020</c:v>
                </c:pt>
                <c:pt idx="6">
                  <c:v>18176</c:v>
                </c:pt>
                <c:pt idx="7">
                  <c:v>65372</c:v>
                </c:pt>
                <c:pt idx="8">
                  <c:v>112568</c:v>
                </c:pt>
                <c:pt idx="9">
                  <c:v>159764</c:v>
                </c:pt>
                <c:pt idx="10">
                  <c:v>206960</c:v>
                </c:pt>
                <c:pt idx="11">
                  <c:v>254156</c:v>
                </c:pt>
                <c:pt idx="12">
                  <c:v>301352</c:v>
                </c:pt>
                <c:pt idx="13">
                  <c:v>348548</c:v>
                </c:pt>
                <c:pt idx="14">
                  <c:v>395744</c:v>
                </c:pt>
                <c:pt idx="15">
                  <c:v>442940</c:v>
                </c:pt>
                <c:pt idx="16">
                  <c:v>490136</c:v>
                </c:pt>
                <c:pt idx="17">
                  <c:v>537332</c:v>
                </c:pt>
                <c:pt idx="18">
                  <c:v>584528</c:v>
                </c:pt>
                <c:pt idx="19">
                  <c:v>631724</c:v>
                </c:pt>
                <c:pt idx="20">
                  <c:v>678920</c:v>
                </c:pt>
                <c:pt idx="21">
                  <c:v>726116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88-B841-B77E-53CAF8278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423807"/>
        <c:axId val="288803903"/>
      </c:lineChart>
      <c:catAx>
        <c:axId val="287423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803903"/>
        <c:crosses val="autoZero"/>
        <c:auto val="1"/>
        <c:lblAlgn val="ctr"/>
        <c:lblOffset val="100"/>
        <c:noMultiLvlLbl val="0"/>
      </c:catAx>
      <c:valAx>
        <c:axId val="28880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2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CUMILATIVE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Calculations!$H$3</c:f>
              <c:strCache>
                <c:ptCount val="1"/>
                <c:pt idx="0">
                  <c:v>CUMILATIVE CASH FLOW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ED-A740-A790-CCC4080F24CE}"/>
              </c:ext>
            </c:extLst>
          </c:dPt>
          <c:cat>
            <c:numRef>
              <c:f>Calculations!$A$4:$A$24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Calculations!$H$4:$H$24</c:f>
              <c:numCache>
                <c:formatCode>#,##0</c:formatCode>
                <c:ptCount val="21"/>
                <c:pt idx="0">
                  <c:v>-265000</c:v>
                </c:pt>
                <c:pt idx="1">
                  <c:v>-217804</c:v>
                </c:pt>
                <c:pt idx="2">
                  <c:v>-170608</c:v>
                </c:pt>
                <c:pt idx="3">
                  <c:v>-123412</c:v>
                </c:pt>
                <c:pt idx="4">
                  <c:v>-76216</c:v>
                </c:pt>
                <c:pt idx="5">
                  <c:v>-29020</c:v>
                </c:pt>
                <c:pt idx="6">
                  <c:v>18176</c:v>
                </c:pt>
                <c:pt idx="7">
                  <c:v>65372</c:v>
                </c:pt>
                <c:pt idx="8">
                  <c:v>112568</c:v>
                </c:pt>
                <c:pt idx="9">
                  <c:v>159764</c:v>
                </c:pt>
                <c:pt idx="10">
                  <c:v>206960</c:v>
                </c:pt>
                <c:pt idx="11">
                  <c:v>254156</c:v>
                </c:pt>
                <c:pt idx="12">
                  <c:v>301352</c:v>
                </c:pt>
                <c:pt idx="13">
                  <c:v>348548</c:v>
                </c:pt>
                <c:pt idx="14">
                  <c:v>395744</c:v>
                </c:pt>
                <c:pt idx="15">
                  <c:v>442940</c:v>
                </c:pt>
                <c:pt idx="16">
                  <c:v>490136</c:v>
                </c:pt>
                <c:pt idx="17">
                  <c:v>537332</c:v>
                </c:pt>
                <c:pt idx="18">
                  <c:v>584528</c:v>
                </c:pt>
                <c:pt idx="19">
                  <c:v>631724</c:v>
                </c:pt>
                <c:pt idx="20">
                  <c:v>678920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D-A740-A790-CCC4080F2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613567"/>
        <c:axId val="297583039"/>
      </c:lineChart>
      <c:catAx>
        <c:axId val="25861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83039"/>
        <c:crosses val="autoZero"/>
        <c:auto val="1"/>
        <c:lblAlgn val="ctr"/>
        <c:lblOffset val="100"/>
        <c:noMultiLvlLbl val="0"/>
      </c:catAx>
      <c:valAx>
        <c:axId val="2975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1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_xlchart.v2.1</cx:f>
      </cx:numDim>
    </cx:data>
    <cx:data id="1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Discount  Rates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Discount  Rates</a:t>
          </a:r>
        </a:p>
      </cx:txPr>
    </cx:title>
    <cx:plotArea>
      <cx:plotAreaRegion>
        <cx:series layoutId="funnel" uniqueId="{FD131856-B9AB-784D-85D1-29F35697CB03}" formatIdx="0">
          <cx:tx>
            <cx:txData>
              <cx:f>_xlchart.v2.0</cx:f>
              <cx:v>Discount Rate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9F29B30B-C2DB-B543-952A-BCCF58CE976B}" formatIdx="1">
          <cx:tx>
            <cx:txData>
              <cx:f>_xlchart.v2.2</cx:f>
              <cx:v>NPV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311726</xdr:colOff>
      <xdr:row>33</xdr:row>
      <xdr:rowOff>84410</xdr:rowOff>
    </xdr:from>
    <xdr:to>
      <xdr:col>16</xdr:col>
      <xdr:colOff>1385454</xdr:colOff>
      <xdr:row>48</xdr:row>
      <xdr:rowOff>179595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AF11B7-BA5F-1661-6AB7-707007C84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480484</xdr:colOff>
      <xdr:row>17</xdr:row>
      <xdr:rowOff>99484</xdr:rowOff>
    </xdr:from>
    <xdr:to>
      <xdr:col>20</xdr:col>
      <xdr:colOff>745067</xdr:colOff>
      <xdr:row>37</xdr:row>
      <xdr:rowOff>169334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31EEDB9-E232-F1CF-79C8-52EA5BABC67D}"/>
            </a:ext>
          </a:extLst>
        </xdr:cNvPr>
        <xdr:cNvGrpSpPr/>
      </xdr:nvGrpSpPr>
      <xdr:grpSpPr>
        <a:xfrm>
          <a:off x="11707284" y="3943351"/>
          <a:ext cx="8189383" cy="4167716"/>
          <a:chOff x="12435417" y="3943351"/>
          <a:chExt cx="6902450" cy="413385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718F831-12CA-E3D3-0CD8-84989AE33F70}"/>
              </a:ext>
            </a:extLst>
          </xdr:cNvPr>
          <xdr:cNvGraphicFramePr/>
        </xdr:nvGraphicFramePr>
        <xdr:xfrm>
          <a:off x="12435417" y="3943351"/>
          <a:ext cx="6902450" cy="4133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AA996AF4-39A1-96DC-5AAB-63FDFF75A5F9}"/>
              </a:ext>
            </a:extLst>
          </xdr:cNvPr>
          <xdr:cNvCxnSpPr/>
        </xdr:nvCxnSpPr>
        <xdr:spPr>
          <a:xfrm flipH="1">
            <a:off x="14822431" y="4428067"/>
            <a:ext cx="28102" cy="349331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423333</xdr:colOff>
      <xdr:row>26</xdr:row>
      <xdr:rowOff>152400</xdr:rowOff>
    </xdr:from>
    <xdr:to>
      <xdr:col>10</xdr:col>
      <xdr:colOff>50800</xdr:colOff>
      <xdr:row>42</xdr:row>
      <xdr:rowOff>135467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480687E-5A06-EE0D-AA0B-8D778E348D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5133" y="5842000"/>
              <a:ext cx="5939367" cy="32723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iruddhshastri/Downloads/Techno-Economic%20Model_v2.xlsx" TargetMode="External"/><Relationship Id="rId1" Type="http://schemas.openxmlformats.org/officeDocument/2006/relationships/externalLinkPath" Target="/Users/aniruddhshastri/Downloads/Techno-Economic%20Model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rm Inputs"/>
      <sheetName val="Farm Energy Demand"/>
      <sheetName val="MRV inputs"/>
      <sheetName val="Scenario 1"/>
      <sheetName val="Scenario 2"/>
      <sheetName val="Scenario 3"/>
      <sheetName val="Farm Results"/>
      <sheetName val="Corporate Results"/>
      <sheetName val="Appendix"/>
    </sheetNames>
    <sheetDataSet>
      <sheetData sheetId="0">
        <row r="2">
          <cell r="H2">
            <v>35</v>
          </cell>
        </row>
        <row r="3">
          <cell r="H3">
            <v>15</v>
          </cell>
        </row>
        <row r="4">
          <cell r="H4">
            <v>10</v>
          </cell>
        </row>
        <row r="5">
          <cell r="J5">
            <v>345</v>
          </cell>
        </row>
        <row r="7">
          <cell r="B7">
            <v>50</v>
          </cell>
        </row>
        <row r="8">
          <cell r="B8">
            <v>75</v>
          </cell>
        </row>
        <row r="9">
          <cell r="B9">
            <v>300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ejan Sunil Shinde" id="{8161962C-54CA-7F4D-B037-09B43B7C4AD5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69BCC-F4E7-3048-BAC6-C8A0110F8319}" name="Manure_breakdown" displayName="Manure_breakdown" ref="G8:K15">
  <tableColumns count="5">
    <tableColumn id="1" xr3:uid="{2E56A7EF-C31A-834C-BA4E-30E36F6638D8}" name="Label"/>
    <tableColumn id="2" xr3:uid="{64893C95-11D9-3648-A1A0-77727A47A2ED}" name="Value"/>
    <tableColumn id="3" xr3:uid="{F88E40BB-AF9A-DE4A-8D8B-DFFBA60EC5DB}" name="Unit"/>
    <tableColumn id="4" xr3:uid="{2254ED5A-28D5-5448-9C25-161AF36AAF7A}" name="Notes"/>
    <tableColumn id="5" xr3:uid="{BC5D288B-B2F1-3640-A453-0122D0160AA1}" name="Source"/>
  </tableColumns>
  <tableStyleInfo name="Farm Inputs-style 3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6-05-20T21:05:07.00" personId="{8161962C-54CA-7F4D-B037-09B43B7C4AD5}" id="{A04EED6A-01DA-294C-B7B1-7AE0CD939F78}">
    <text>Remaining 5 ha to forage/legumes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C3CC-A7A0-C048-93A0-08FAC0BEAEBF}">
  <dimension ref="B2:Q39"/>
  <sheetViews>
    <sheetView topLeftCell="A18" zoomScale="99" workbookViewId="0">
      <selection activeCell="D33" sqref="D33:D40"/>
    </sheetView>
  </sheetViews>
  <sheetFormatPr baseColWidth="10" defaultRowHeight="16" x14ac:dyDescent="0.2"/>
  <cols>
    <col min="2" max="2" width="10.6640625" bestFit="1" customWidth="1"/>
    <col min="3" max="3" width="10.1640625" bestFit="1" customWidth="1"/>
    <col min="4" max="4" width="8.83203125" bestFit="1" customWidth="1"/>
    <col min="9" max="9" width="21" bestFit="1" customWidth="1"/>
    <col min="13" max="13" width="13.83203125" bestFit="1" customWidth="1"/>
    <col min="17" max="17" width="18.1640625" bestFit="1" customWidth="1"/>
  </cols>
  <sheetData>
    <row r="2" spans="2:17" ht="17" thickBot="1" x14ac:dyDescent="0.25">
      <c r="B2" t="s">
        <v>13</v>
      </c>
    </row>
    <row r="3" spans="2:17" ht="69" thickBot="1" x14ac:dyDescent="0.25">
      <c r="B3" s="1" t="s">
        <v>0</v>
      </c>
      <c r="C3" s="2" t="s">
        <v>1</v>
      </c>
      <c r="D3" s="4">
        <v>33470</v>
      </c>
      <c r="G3" t="s">
        <v>10</v>
      </c>
      <c r="H3">
        <v>265000</v>
      </c>
      <c r="L3" t="s">
        <v>11</v>
      </c>
      <c r="M3" t="s">
        <v>10</v>
      </c>
      <c r="N3" t="s">
        <v>16</v>
      </c>
      <c r="O3" t="s">
        <v>13</v>
      </c>
      <c r="P3" t="s">
        <v>17</v>
      </c>
      <c r="Q3" t="s">
        <v>18</v>
      </c>
    </row>
    <row r="4" spans="2:17" ht="69" thickBot="1" x14ac:dyDescent="0.25">
      <c r="B4" s="5" t="s">
        <v>2</v>
      </c>
      <c r="C4" s="6" t="s">
        <v>3</v>
      </c>
      <c r="D4" s="7">
        <v>13380</v>
      </c>
      <c r="L4">
        <v>2025</v>
      </c>
      <c r="M4" s="3">
        <v>-265000</v>
      </c>
      <c r="O4" s="3"/>
      <c r="P4" s="3">
        <f>M4</f>
        <v>-265000</v>
      </c>
      <c r="Q4" s="3">
        <f>P4</f>
        <v>-265000</v>
      </c>
    </row>
    <row r="5" spans="2:17" ht="52" thickBot="1" x14ac:dyDescent="0.25">
      <c r="B5" s="5" t="s">
        <v>4</v>
      </c>
      <c r="C5" s="6" t="s">
        <v>5</v>
      </c>
      <c r="D5" s="7">
        <v>10945</v>
      </c>
      <c r="L5">
        <v>2026</v>
      </c>
      <c r="M5">
        <v>0</v>
      </c>
      <c r="N5">
        <v>-10600</v>
      </c>
      <c r="O5">
        <v>57796</v>
      </c>
      <c r="P5">
        <f>O5+N5</f>
        <v>47196</v>
      </c>
      <c r="Q5" s="3">
        <f>Q4+P5</f>
        <v>-217804</v>
      </c>
    </row>
    <row r="6" spans="2:17" ht="52" thickBot="1" x14ac:dyDescent="0.25">
      <c r="B6" s="5" t="s">
        <v>6</v>
      </c>
      <c r="C6" s="8"/>
      <c r="D6" s="7">
        <v>57796</v>
      </c>
      <c r="L6">
        <v>2027</v>
      </c>
      <c r="M6">
        <v>0</v>
      </c>
      <c r="N6">
        <v>-10600</v>
      </c>
      <c r="O6">
        <v>57796</v>
      </c>
      <c r="P6">
        <f t="shared" ref="P6:P25" si="0">O6+N6</f>
        <v>47196</v>
      </c>
      <c r="Q6" s="3">
        <f>Q5+P6</f>
        <v>-170608</v>
      </c>
    </row>
    <row r="7" spans="2:17" ht="69" thickBot="1" x14ac:dyDescent="0.25">
      <c r="B7" s="5" t="s">
        <v>7</v>
      </c>
      <c r="C7" s="8"/>
      <c r="D7" s="7">
        <v>-3800</v>
      </c>
      <c r="L7">
        <v>2028</v>
      </c>
      <c r="M7">
        <v>0</v>
      </c>
      <c r="N7">
        <v>-10600</v>
      </c>
      <c r="O7">
        <v>57796</v>
      </c>
      <c r="P7">
        <f t="shared" si="0"/>
        <v>47196</v>
      </c>
      <c r="Q7" s="3">
        <f t="shared" ref="Q7:Q25" si="1">Q6+P7</f>
        <v>-123412</v>
      </c>
    </row>
    <row r="8" spans="2:17" ht="86" thickBot="1" x14ac:dyDescent="0.25">
      <c r="B8" s="5" t="s">
        <v>8</v>
      </c>
      <c r="C8" s="8"/>
      <c r="D8" s="7">
        <v>-7400</v>
      </c>
      <c r="L8">
        <v>2029</v>
      </c>
      <c r="M8">
        <v>0</v>
      </c>
      <c r="N8">
        <v>-10600</v>
      </c>
      <c r="O8">
        <v>57796</v>
      </c>
      <c r="P8">
        <f t="shared" si="0"/>
        <v>47196</v>
      </c>
      <c r="Q8" s="3">
        <f t="shared" si="1"/>
        <v>-76216</v>
      </c>
    </row>
    <row r="9" spans="2:17" ht="69" thickBot="1" x14ac:dyDescent="0.25">
      <c r="B9" s="5" t="s">
        <v>9</v>
      </c>
      <c r="C9" s="8"/>
      <c r="D9" s="9">
        <v>-10600</v>
      </c>
      <c r="L9">
        <v>2030</v>
      </c>
      <c r="M9">
        <v>0</v>
      </c>
      <c r="N9">
        <v>-10600</v>
      </c>
      <c r="O9">
        <v>57796</v>
      </c>
      <c r="P9">
        <f t="shared" si="0"/>
        <v>47196</v>
      </c>
      <c r="Q9" s="3">
        <f t="shared" si="1"/>
        <v>-29020</v>
      </c>
    </row>
    <row r="10" spans="2:17" x14ac:dyDescent="0.2">
      <c r="D10" s="3">
        <f>SUM(D3:D9)</f>
        <v>93791</v>
      </c>
      <c r="L10">
        <v>2031</v>
      </c>
      <c r="M10">
        <v>0</v>
      </c>
      <c r="N10">
        <v>-10600</v>
      </c>
      <c r="O10">
        <v>57796</v>
      </c>
      <c r="P10">
        <f t="shared" si="0"/>
        <v>47196</v>
      </c>
      <c r="Q10" s="3">
        <f t="shared" si="1"/>
        <v>18176</v>
      </c>
    </row>
    <row r="11" spans="2:17" x14ac:dyDescent="0.2">
      <c r="L11">
        <v>2032</v>
      </c>
      <c r="M11">
        <v>0</v>
      </c>
      <c r="N11">
        <v>-10600</v>
      </c>
      <c r="O11">
        <v>57796</v>
      </c>
      <c r="P11">
        <f t="shared" si="0"/>
        <v>47196</v>
      </c>
      <c r="Q11" s="3">
        <f t="shared" si="1"/>
        <v>65372</v>
      </c>
    </row>
    <row r="12" spans="2:17" x14ac:dyDescent="0.2">
      <c r="L12">
        <v>2033</v>
      </c>
      <c r="M12">
        <v>0</v>
      </c>
      <c r="N12">
        <v>-10600</v>
      </c>
      <c r="O12">
        <v>57796</v>
      </c>
      <c r="P12">
        <f t="shared" si="0"/>
        <v>47196</v>
      </c>
      <c r="Q12" s="3">
        <f t="shared" si="1"/>
        <v>112568</v>
      </c>
    </row>
    <row r="13" spans="2:17" x14ac:dyDescent="0.2">
      <c r="L13">
        <v>2034</v>
      </c>
      <c r="M13">
        <v>0</v>
      </c>
      <c r="N13">
        <v>-10600</v>
      </c>
      <c r="O13">
        <v>57796</v>
      </c>
      <c r="P13">
        <f t="shared" si="0"/>
        <v>47196</v>
      </c>
      <c r="Q13" s="3">
        <f t="shared" si="1"/>
        <v>159764</v>
      </c>
    </row>
    <row r="14" spans="2:17" x14ac:dyDescent="0.2">
      <c r="B14" t="s">
        <v>14</v>
      </c>
      <c r="C14" s="11">
        <v>0.06</v>
      </c>
      <c r="L14">
        <v>2035</v>
      </c>
      <c r="M14">
        <v>0</v>
      </c>
      <c r="N14">
        <v>-10600</v>
      </c>
      <c r="O14">
        <v>57796</v>
      </c>
      <c r="P14">
        <f t="shared" si="0"/>
        <v>47196</v>
      </c>
      <c r="Q14" s="3">
        <f t="shared" si="1"/>
        <v>206960</v>
      </c>
    </row>
    <row r="15" spans="2:17" x14ac:dyDescent="0.2">
      <c r="L15">
        <v>2036</v>
      </c>
      <c r="M15">
        <v>0</v>
      </c>
      <c r="N15">
        <v>-10600</v>
      </c>
      <c r="O15">
        <v>57796</v>
      </c>
      <c r="P15">
        <f t="shared" si="0"/>
        <v>47196</v>
      </c>
      <c r="Q15" s="3">
        <f t="shared" si="1"/>
        <v>254156</v>
      </c>
    </row>
    <row r="16" spans="2:17" x14ac:dyDescent="0.2">
      <c r="L16">
        <v>2037</v>
      </c>
      <c r="M16">
        <v>0</v>
      </c>
      <c r="N16">
        <v>-10600</v>
      </c>
      <c r="O16">
        <v>57796</v>
      </c>
      <c r="P16">
        <f t="shared" si="0"/>
        <v>47196</v>
      </c>
      <c r="Q16" s="3">
        <f t="shared" si="1"/>
        <v>301352</v>
      </c>
    </row>
    <row r="17" spans="8:17" x14ac:dyDescent="0.2">
      <c r="L17">
        <v>2038</v>
      </c>
      <c r="M17">
        <v>0</v>
      </c>
      <c r="N17">
        <v>-10600</v>
      </c>
      <c r="O17">
        <v>57796</v>
      </c>
      <c r="P17">
        <f t="shared" si="0"/>
        <v>47196</v>
      </c>
      <c r="Q17" s="3">
        <f t="shared" si="1"/>
        <v>348548</v>
      </c>
    </row>
    <row r="18" spans="8:17" x14ac:dyDescent="0.2">
      <c r="L18">
        <v>2039</v>
      </c>
      <c r="M18">
        <v>0</v>
      </c>
      <c r="N18">
        <v>-10600</v>
      </c>
      <c r="O18">
        <v>57796</v>
      </c>
      <c r="P18">
        <f t="shared" si="0"/>
        <v>47196</v>
      </c>
      <c r="Q18" s="3">
        <f t="shared" si="1"/>
        <v>395744</v>
      </c>
    </row>
    <row r="19" spans="8:17" x14ac:dyDescent="0.2">
      <c r="L19">
        <v>2040</v>
      </c>
      <c r="M19">
        <v>0</v>
      </c>
      <c r="N19">
        <v>-10600</v>
      </c>
      <c r="O19">
        <v>57796</v>
      </c>
      <c r="P19">
        <f t="shared" si="0"/>
        <v>47196</v>
      </c>
      <c r="Q19" s="3">
        <f t="shared" si="1"/>
        <v>442940</v>
      </c>
    </row>
    <row r="20" spans="8:17" x14ac:dyDescent="0.2">
      <c r="L20">
        <v>2041</v>
      </c>
      <c r="M20">
        <v>0</v>
      </c>
      <c r="N20">
        <v>-10600</v>
      </c>
      <c r="O20">
        <v>57796</v>
      </c>
      <c r="P20">
        <f t="shared" si="0"/>
        <v>47196</v>
      </c>
      <c r="Q20" s="3">
        <f t="shared" si="1"/>
        <v>490136</v>
      </c>
    </row>
    <row r="21" spans="8:17" x14ac:dyDescent="0.2">
      <c r="L21">
        <v>2042</v>
      </c>
      <c r="M21">
        <v>0</v>
      </c>
      <c r="N21">
        <v>-10600</v>
      </c>
      <c r="O21">
        <v>57796</v>
      </c>
      <c r="P21">
        <f t="shared" si="0"/>
        <v>47196</v>
      </c>
      <c r="Q21" s="3">
        <f t="shared" si="1"/>
        <v>537332</v>
      </c>
    </row>
    <row r="22" spans="8:17" x14ac:dyDescent="0.2">
      <c r="L22">
        <v>2043</v>
      </c>
      <c r="M22">
        <v>0</v>
      </c>
      <c r="N22">
        <v>-10600</v>
      </c>
      <c r="O22">
        <v>57796</v>
      </c>
      <c r="P22">
        <f t="shared" si="0"/>
        <v>47196</v>
      </c>
      <c r="Q22" s="3">
        <f t="shared" si="1"/>
        <v>584528</v>
      </c>
    </row>
    <row r="23" spans="8:17" x14ac:dyDescent="0.2">
      <c r="L23">
        <v>2044</v>
      </c>
      <c r="M23">
        <v>0</v>
      </c>
      <c r="N23">
        <v>-10600</v>
      </c>
      <c r="O23">
        <v>57796</v>
      </c>
      <c r="P23">
        <f t="shared" si="0"/>
        <v>47196</v>
      </c>
      <c r="Q23" s="3">
        <f t="shared" si="1"/>
        <v>631724</v>
      </c>
    </row>
    <row r="24" spans="8:17" x14ac:dyDescent="0.2">
      <c r="L24">
        <v>2045</v>
      </c>
      <c r="M24">
        <v>0</v>
      </c>
      <c r="N24">
        <v>-10600</v>
      </c>
      <c r="O24">
        <v>57796</v>
      </c>
      <c r="P24">
        <f t="shared" si="0"/>
        <v>47196</v>
      </c>
      <c r="Q24" s="3">
        <f t="shared" si="1"/>
        <v>678920</v>
      </c>
    </row>
    <row r="25" spans="8:17" x14ac:dyDescent="0.2">
      <c r="L25">
        <v>2046</v>
      </c>
      <c r="M25">
        <v>0</v>
      </c>
      <c r="N25">
        <v>-10600</v>
      </c>
      <c r="O25">
        <v>57796</v>
      </c>
      <c r="P25">
        <f t="shared" si="0"/>
        <v>47196</v>
      </c>
      <c r="Q25" s="3">
        <f t="shared" si="1"/>
        <v>726116</v>
      </c>
    </row>
    <row r="26" spans="8:17" x14ac:dyDescent="0.2">
      <c r="K26" t="s">
        <v>12</v>
      </c>
      <c r="M26" s="3">
        <f>+SUM(M4:M25)</f>
        <v>-265000</v>
      </c>
      <c r="N26" s="3">
        <f t="shared" ref="N26:Q26" si="2">+SUM(N4:N25)</f>
        <v>-222600</v>
      </c>
      <c r="O26" s="3">
        <f t="shared" si="2"/>
        <v>1213716</v>
      </c>
      <c r="P26" s="3">
        <f t="shared" si="2"/>
        <v>726116</v>
      </c>
      <c r="Q26" s="3">
        <f t="shared" si="2"/>
        <v>5072276</v>
      </c>
    </row>
    <row r="27" spans="8:17" x14ac:dyDescent="0.2">
      <c r="Q27" s="3"/>
    </row>
    <row r="28" spans="8:17" x14ac:dyDescent="0.2">
      <c r="Q28" s="3"/>
    </row>
    <row r="32" spans="8:17" ht="17" thickBot="1" x14ac:dyDescent="0.25">
      <c r="H32" t="s">
        <v>15</v>
      </c>
      <c r="I32" s="12">
        <f>NPV(C14,P5:P25)+P4</f>
        <v>290217.36021830712</v>
      </c>
    </row>
    <row r="33" spans="4:9" ht="17" thickBot="1" x14ac:dyDescent="0.25">
      <c r="D33" s="14"/>
      <c r="H33" t="s">
        <v>19</v>
      </c>
      <c r="I33" s="10">
        <f>IRR(P4:P25)</f>
        <v>0.17170893929968534</v>
      </c>
    </row>
    <row r="34" spans="4:9" ht="17" thickBot="1" x14ac:dyDescent="0.25">
      <c r="D34" s="7"/>
    </row>
    <row r="35" spans="4:9" ht="17" thickBot="1" x14ac:dyDescent="0.25">
      <c r="D35" s="7"/>
    </row>
    <row r="36" spans="4:9" ht="17" thickBot="1" x14ac:dyDescent="0.25">
      <c r="D36" s="7"/>
    </row>
    <row r="37" spans="4:9" ht="17" thickBot="1" x14ac:dyDescent="0.25">
      <c r="D37" s="7"/>
    </row>
    <row r="38" spans="4:9" ht="17" thickBot="1" x14ac:dyDescent="0.25">
      <c r="D38" s="7"/>
    </row>
    <row r="39" spans="4:9" ht="17" thickBot="1" x14ac:dyDescent="0.25">
      <c r="D39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FF19-2DA9-6244-A37E-038729EE1504}">
  <sheetPr>
    <outlinePr summaryBelow="0" summaryRight="0"/>
    <pageSetUpPr fitToPage="1"/>
  </sheetPr>
  <dimension ref="A1:L23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10" defaultColWidth="12.6640625" defaultRowHeight="15.75" customHeight="1" x14ac:dyDescent="0.2"/>
  <cols>
    <col min="1" max="1" width="20.83203125" style="71" customWidth="1"/>
    <col min="2" max="2" width="14" style="71" customWidth="1"/>
    <col min="3" max="3" width="10.33203125" style="71" customWidth="1"/>
    <col min="4" max="4" width="49.1640625" style="71" customWidth="1"/>
    <col min="5" max="5" width="73.1640625" style="71" customWidth="1"/>
    <col min="6" max="6" width="25.6640625" style="71" customWidth="1"/>
    <col min="7" max="7" width="33.5" style="71" customWidth="1"/>
    <col min="8" max="8" width="21" style="71" customWidth="1"/>
    <col min="9" max="9" width="17.1640625" style="71" customWidth="1"/>
    <col min="10" max="10" width="8.5" style="71" customWidth="1"/>
    <col min="11" max="11" width="12.1640625" style="71" customWidth="1"/>
    <col min="12" max="12" width="10.6640625" style="71" customWidth="1"/>
    <col min="13" max="16384" width="12.6640625" style="71"/>
  </cols>
  <sheetData>
    <row r="1" spans="1:12" ht="22.5" customHeight="1" x14ac:dyDescent="0.2">
      <c r="A1" s="68" t="s">
        <v>279</v>
      </c>
      <c r="B1" s="69" t="s">
        <v>280</v>
      </c>
      <c r="C1" s="69" t="s">
        <v>281</v>
      </c>
      <c r="D1" s="69" t="s">
        <v>114</v>
      </c>
      <c r="E1" s="70" t="s">
        <v>66</v>
      </c>
      <c r="G1" s="72" t="s">
        <v>279</v>
      </c>
      <c r="H1" s="73" t="s">
        <v>282</v>
      </c>
      <c r="I1" s="73" t="s">
        <v>283</v>
      </c>
      <c r="J1" s="73" t="s">
        <v>64</v>
      </c>
      <c r="K1" s="73" t="s">
        <v>284</v>
      </c>
      <c r="L1" s="70" t="s">
        <v>66</v>
      </c>
    </row>
    <row r="2" spans="1:12" ht="22.5" customHeight="1" x14ac:dyDescent="0.2">
      <c r="A2" s="74" t="s">
        <v>285</v>
      </c>
      <c r="B2" s="74"/>
      <c r="C2" s="74"/>
      <c r="D2" s="74"/>
      <c r="E2" s="75"/>
      <c r="G2" s="76" t="s">
        <v>286</v>
      </c>
      <c r="H2" s="77">
        <v>120</v>
      </c>
      <c r="I2" s="77">
        <f>H2*'[1]Farm Inputs'!B7*H13</f>
        <v>58800.000000000007</v>
      </c>
      <c r="J2" s="77" t="s">
        <v>287</v>
      </c>
      <c r="K2" s="77" t="s">
        <v>288</v>
      </c>
      <c r="L2" s="75" t="s">
        <v>75</v>
      </c>
    </row>
    <row r="3" spans="1:12" ht="22.5" customHeight="1" x14ac:dyDescent="0.2">
      <c r="A3" s="78" t="s">
        <v>286</v>
      </c>
      <c r="B3" s="78">
        <f>450*'[1]Farm Inputs'!B7</f>
        <v>22500</v>
      </c>
      <c r="C3" s="79" t="s">
        <v>89</v>
      </c>
      <c r="D3" s="79" t="s">
        <v>289</v>
      </c>
      <c r="E3" s="80" t="s">
        <v>75</v>
      </c>
      <c r="G3" s="78" t="s">
        <v>290</v>
      </c>
      <c r="H3" s="81">
        <v>3.8</v>
      </c>
      <c r="I3" s="81">
        <f>H3*'[1]Farm Inputs'!B8*H14</f>
        <v>1995</v>
      </c>
      <c r="J3" s="81" t="s">
        <v>287</v>
      </c>
      <c r="K3" s="81" t="s">
        <v>288</v>
      </c>
      <c r="L3" s="80" t="s">
        <v>75</v>
      </c>
    </row>
    <row r="4" spans="1:12" ht="22.5" customHeight="1" x14ac:dyDescent="0.2">
      <c r="A4" s="76" t="s">
        <v>290</v>
      </c>
      <c r="B4" s="76">
        <f>70*'[1]Farm Inputs'!B8</f>
        <v>5250</v>
      </c>
      <c r="C4" s="82" t="s">
        <v>89</v>
      </c>
      <c r="D4" s="82" t="s">
        <v>291</v>
      </c>
      <c r="E4" s="75" t="s">
        <v>75</v>
      </c>
      <c r="G4" s="76" t="s">
        <v>292</v>
      </c>
      <c r="H4" s="77">
        <v>1.33</v>
      </c>
      <c r="I4" s="77">
        <f>H4*'[1]Farm Inputs'!B9*H14</f>
        <v>2793</v>
      </c>
      <c r="J4" s="77" t="s">
        <v>287</v>
      </c>
      <c r="K4" s="77" t="s">
        <v>288</v>
      </c>
      <c r="L4" s="75" t="s">
        <v>75</v>
      </c>
    </row>
    <row r="5" spans="1:12" ht="22.5" customHeight="1" x14ac:dyDescent="0.2">
      <c r="A5" s="78" t="s">
        <v>292</v>
      </c>
      <c r="B5" s="78">
        <f>5.2*'[1]Farm Inputs'!B9</f>
        <v>1560</v>
      </c>
      <c r="C5" s="79" t="s">
        <v>89</v>
      </c>
      <c r="D5" s="79" t="s">
        <v>293</v>
      </c>
      <c r="E5" s="80" t="s">
        <v>75</v>
      </c>
      <c r="G5" s="78" t="s">
        <v>294</v>
      </c>
      <c r="H5" s="81">
        <v>140</v>
      </c>
      <c r="I5" s="81">
        <f>H5*'[1]Farm Inputs'!H3*H13</f>
        <v>20580</v>
      </c>
      <c r="J5" s="81" t="s">
        <v>287</v>
      </c>
      <c r="K5" s="81" t="s">
        <v>288</v>
      </c>
      <c r="L5" s="80" t="s">
        <v>75</v>
      </c>
    </row>
    <row r="6" spans="1:12" ht="22.5" customHeight="1" x14ac:dyDescent="0.2">
      <c r="A6" s="83" t="s">
        <v>295</v>
      </c>
      <c r="B6" s="83"/>
      <c r="C6" s="83"/>
      <c r="D6" s="83"/>
      <c r="E6" s="75"/>
      <c r="G6" s="76" t="s">
        <v>110</v>
      </c>
      <c r="H6" s="77">
        <v>100</v>
      </c>
      <c r="I6" s="77">
        <f>H6*'[1]Farm Inputs'!H2*H13</f>
        <v>34300</v>
      </c>
      <c r="J6" s="77" t="s">
        <v>287</v>
      </c>
      <c r="K6" s="77" t="s">
        <v>288</v>
      </c>
      <c r="L6" s="75" t="s">
        <v>75</v>
      </c>
    </row>
    <row r="7" spans="1:12" ht="22.5" customHeight="1" x14ac:dyDescent="0.2">
      <c r="A7" s="78" t="s">
        <v>296</v>
      </c>
      <c r="B7" s="79">
        <v>45</v>
      </c>
      <c r="C7" s="79" t="s">
        <v>297</v>
      </c>
      <c r="D7" s="81"/>
      <c r="E7" s="80" t="s">
        <v>75</v>
      </c>
      <c r="G7" s="78" t="s">
        <v>112</v>
      </c>
      <c r="H7" s="81">
        <v>90</v>
      </c>
      <c r="I7" s="81">
        <f>H7*'[1]Farm Inputs'!H4*H13</f>
        <v>8820</v>
      </c>
      <c r="J7" s="81" t="s">
        <v>287</v>
      </c>
      <c r="K7" s="81" t="s">
        <v>288</v>
      </c>
      <c r="L7" s="80" t="s">
        <v>75</v>
      </c>
    </row>
    <row r="8" spans="1:12" ht="22.5" customHeight="1" x14ac:dyDescent="0.2">
      <c r="A8" s="84" t="s">
        <v>298</v>
      </c>
      <c r="B8" s="77">
        <v>0.75</v>
      </c>
      <c r="C8" s="77"/>
      <c r="D8" s="77" t="s">
        <v>299</v>
      </c>
      <c r="E8" s="75"/>
      <c r="G8" s="85" t="s">
        <v>300</v>
      </c>
      <c r="H8" s="86"/>
      <c r="I8" s="87">
        <f>SUM(I2:I7)</f>
        <v>127288</v>
      </c>
      <c r="J8" s="87" t="s">
        <v>287</v>
      </c>
      <c r="K8" s="86" t="s">
        <v>288</v>
      </c>
      <c r="L8" s="88" t="s">
        <v>75</v>
      </c>
    </row>
    <row r="9" spans="1:12" ht="22.5" customHeight="1" x14ac:dyDescent="0.2">
      <c r="A9" s="89" t="s">
        <v>301</v>
      </c>
      <c r="B9" s="81">
        <f>B7*'[1]Farm Inputs'!$J$5*B8</f>
        <v>11643.75</v>
      </c>
      <c r="C9" s="81" t="s">
        <v>89</v>
      </c>
      <c r="D9" s="81"/>
      <c r="E9" s="80"/>
    </row>
    <row r="10" spans="1:12" ht="22.5" customHeight="1" x14ac:dyDescent="0.2">
      <c r="A10" s="83" t="s">
        <v>302</v>
      </c>
      <c r="B10" s="83"/>
      <c r="C10" s="83"/>
      <c r="D10" s="83"/>
      <c r="E10" s="75"/>
    </row>
    <row r="11" spans="1:12" ht="22.5" customHeight="1" x14ac:dyDescent="0.2">
      <c r="A11" s="78" t="s">
        <v>303</v>
      </c>
      <c r="B11" s="81">
        <v>1850</v>
      </c>
      <c r="C11" s="81" t="s">
        <v>304</v>
      </c>
      <c r="D11" s="81"/>
      <c r="E11" s="80" t="s">
        <v>75</v>
      </c>
    </row>
    <row r="12" spans="1:12" ht="22.5" customHeight="1" x14ac:dyDescent="0.2">
      <c r="A12" s="74" t="s">
        <v>294</v>
      </c>
      <c r="B12" s="77">
        <v>2200</v>
      </c>
      <c r="C12" s="77" t="s">
        <v>304</v>
      </c>
      <c r="D12" s="77"/>
      <c r="E12" s="75" t="s">
        <v>75</v>
      </c>
      <c r="G12" s="90" t="s">
        <v>279</v>
      </c>
      <c r="H12" s="90" t="s">
        <v>63</v>
      </c>
      <c r="I12" s="91" t="s">
        <v>64</v>
      </c>
    </row>
    <row r="13" spans="1:12" ht="22.5" customHeight="1" x14ac:dyDescent="0.2">
      <c r="A13" s="78" t="s">
        <v>305</v>
      </c>
      <c r="B13" s="81">
        <v>1300</v>
      </c>
      <c r="C13" s="81" t="s">
        <v>304</v>
      </c>
      <c r="D13" s="81"/>
      <c r="E13" s="80" t="s">
        <v>75</v>
      </c>
      <c r="G13" s="77" t="s">
        <v>306</v>
      </c>
      <c r="H13" s="77">
        <v>9.8000000000000007</v>
      </c>
      <c r="I13" s="75" t="s">
        <v>307</v>
      </c>
    </row>
    <row r="14" spans="1:12" ht="22.5" customHeight="1" x14ac:dyDescent="0.2">
      <c r="A14" s="74" t="s">
        <v>110</v>
      </c>
      <c r="B14" s="77">
        <v>1200</v>
      </c>
      <c r="C14" s="77" t="s">
        <v>304</v>
      </c>
      <c r="D14" s="77" t="s">
        <v>308</v>
      </c>
      <c r="E14" s="75" t="s">
        <v>75</v>
      </c>
      <c r="G14" s="81" t="s">
        <v>309</v>
      </c>
      <c r="H14" s="81">
        <v>7</v>
      </c>
      <c r="I14" s="80" t="s">
        <v>307</v>
      </c>
    </row>
    <row r="15" spans="1:12" ht="22.5" customHeight="1" x14ac:dyDescent="0.2">
      <c r="A15" s="78" t="s">
        <v>310</v>
      </c>
      <c r="B15" s="81"/>
      <c r="C15" s="81"/>
      <c r="D15" s="81"/>
      <c r="E15" s="80"/>
      <c r="G15" s="86" t="s">
        <v>311</v>
      </c>
      <c r="H15" s="86">
        <v>9.5</v>
      </c>
      <c r="I15" s="88" t="s">
        <v>307</v>
      </c>
    </row>
    <row r="16" spans="1:12" ht="22.5" customHeight="1" x14ac:dyDescent="0.2">
      <c r="A16" s="74" t="s">
        <v>112</v>
      </c>
      <c r="B16" s="77">
        <v>1000</v>
      </c>
      <c r="C16" s="77" t="s">
        <v>304</v>
      </c>
      <c r="D16" s="77" t="s">
        <v>312</v>
      </c>
      <c r="E16" s="75" t="s">
        <v>313</v>
      </c>
    </row>
    <row r="17" spans="1:7" ht="22.5" customHeight="1" x14ac:dyDescent="0.2">
      <c r="A17" s="78" t="s">
        <v>314</v>
      </c>
      <c r="B17" s="81"/>
      <c r="C17" s="81"/>
      <c r="D17" s="81"/>
      <c r="E17" s="80"/>
    </row>
    <row r="18" spans="1:7" ht="22.5" customHeight="1" x14ac:dyDescent="0.2">
      <c r="A18" s="76" t="s">
        <v>315</v>
      </c>
      <c r="B18" s="77"/>
      <c r="C18" s="77"/>
      <c r="D18" s="77"/>
      <c r="E18" s="75"/>
      <c r="G18" s="92" t="s">
        <v>316</v>
      </c>
    </row>
    <row r="19" spans="1:7" ht="22.5" customHeight="1" x14ac:dyDescent="0.2">
      <c r="A19" s="78" t="s">
        <v>317</v>
      </c>
      <c r="B19" s="81"/>
      <c r="C19" s="81"/>
      <c r="D19" s="81"/>
      <c r="E19" s="80"/>
    </row>
    <row r="20" spans="1:7" ht="22.5" customHeight="1" x14ac:dyDescent="0.2">
      <c r="A20" s="93" t="s">
        <v>318</v>
      </c>
      <c r="B20" s="77">
        <f>B12*'[1]Farm Inputs'!H3+B14*'[1]Farm Inputs'!H2+B16*'[1]Farm Inputs'!H4</f>
        <v>85000</v>
      </c>
      <c r="C20" s="77" t="s">
        <v>89</v>
      </c>
      <c r="D20" s="77"/>
      <c r="E20" s="75"/>
    </row>
    <row r="21" spans="1:7" ht="22.5" customHeight="1" x14ac:dyDescent="0.2">
      <c r="A21" s="94" t="s">
        <v>319</v>
      </c>
      <c r="B21" s="94"/>
      <c r="C21" s="94"/>
      <c r="D21" s="94"/>
      <c r="E21" s="80"/>
    </row>
    <row r="22" spans="1:7" ht="22.5" customHeight="1" x14ac:dyDescent="0.2">
      <c r="A22" s="95" t="s">
        <v>320</v>
      </c>
      <c r="B22" s="77">
        <v>12250</v>
      </c>
      <c r="C22" s="77" t="s">
        <v>89</v>
      </c>
      <c r="D22" s="77" t="s">
        <v>321</v>
      </c>
      <c r="E22" s="75" t="s">
        <v>322</v>
      </c>
    </row>
    <row r="23" spans="1:7" ht="22.5" customHeight="1" x14ac:dyDescent="0.2">
      <c r="A23" s="96" t="s">
        <v>323</v>
      </c>
      <c r="B23" s="96">
        <f>B3+B4+B5+B9+B20+B22</f>
        <v>138203.75</v>
      </c>
      <c r="C23" s="96" t="s">
        <v>89</v>
      </c>
      <c r="D23" s="97"/>
      <c r="E23" s="98"/>
    </row>
  </sheetData>
  <dataValidations count="1">
    <dataValidation type="custom" allowBlank="1" showDropDown="1" sqref="B2:B23" xr:uid="{82419A3B-943C-974F-8AE0-1C73AE12EA29}">
      <formula1>AND(ISNUMBER(B2),(NOT(OR(NOT(ISERROR(DATEVALUE(B2))), AND(ISNUMBER(B2), LEFT(CELL("format", B2))="D")))))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E47B-6EE3-8743-B7CB-6477BC8B21C8}">
  <sheetPr>
    <outlinePr summaryBelow="0" summaryRight="0"/>
    <pageSetUpPr fitToPage="1"/>
  </sheetPr>
  <dimension ref="A1:U58"/>
  <sheetViews>
    <sheetView workbookViewId="0">
      <pane ySplit="1" topLeftCell="A28" activePane="bottomLeft" state="frozen"/>
      <selection activeCell="B3" sqref="B3"/>
      <selection pane="bottomLeft" activeCell="D42" sqref="D42"/>
    </sheetView>
  </sheetViews>
  <sheetFormatPr baseColWidth="10" defaultColWidth="12.6640625" defaultRowHeight="15.75" customHeight="1" x14ac:dyDescent="0.2"/>
  <cols>
    <col min="1" max="1" width="23.5" style="39" customWidth="1"/>
    <col min="2" max="2" width="14" style="39" customWidth="1"/>
    <col min="3" max="3" width="12.6640625" style="39"/>
    <col min="4" max="4" width="55.33203125" style="39" customWidth="1"/>
    <col min="5" max="6" width="12.6640625" style="39"/>
    <col min="7" max="7" width="21.6640625" style="39" customWidth="1"/>
    <col min="8" max="8" width="12.5" style="39" customWidth="1"/>
    <col min="9" max="9" width="15.83203125" style="39" customWidth="1"/>
    <col min="10" max="10" width="18.1640625" style="39" customWidth="1"/>
    <col min="11" max="12" width="16.6640625" style="39" customWidth="1"/>
    <col min="13" max="13" width="45.5" style="39" customWidth="1"/>
    <col min="14" max="15" width="12.6640625" style="39"/>
    <col min="16" max="16" width="23.5" style="39" customWidth="1"/>
    <col min="17" max="16384" width="12.6640625" style="39"/>
  </cols>
  <sheetData>
    <row r="1" spans="1:21" ht="22.5" customHeight="1" x14ac:dyDescent="0.2">
      <c r="A1" s="37" t="s">
        <v>62</v>
      </c>
      <c r="B1" s="37" t="s">
        <v>63</v>
      </c>
      <c r="C1" s="37" t="s">
        <v>64</v>
      </c>
      <c r="D1" s="37" t="s">
        <v>65</v>
      </c>
      <c r="E1" s="38" t="s">
        <v>66</v>
      </c>
      <c r="G1" s="40" t="s">
        <v>99</v>
      </c>
      <c r="H1" s="40" t="s">
        <v>100</v>
      </c>
      <c r="I1" s="40" t="s">
        <v>101</v>
      </c>
      <c r="J1" s="40" t="s">
        <v>102</v>
      </c>
      <c r="K1" s="40" t="s">
        <v>103</v>
      </c>
      <c r="L1" s="40" t="s">
        <v>104</v>
      </c>
      <c r="M1" s="40" t="s">
        <v>105</v>
      </c>
      <c r="N1" s="40" t="s">
        <v>106</v>
      </c>
      <c r="O1" s="40" t="s">
        <v>107</v>
      </c>
      <c r="P1" s="40" t="s">
        <v>108</v>
      </c>
      <c r="Q1" s="40" t="s">
        <v>109</v>
      </c>
      <c r="R1" s="41" t="s">
        <v>66</v>
      </c>
    </row>
    <row r="2" spans="1:21" ht="22.5" customHeight="1" x14ac:dyDescent="0.2">
      <c r="A2" s="42" t="s">
        <v>67</v>
      </c>
      <c r="B2" s="42">
        <v>100</v>
      </c>
      <c r="C2" s="42" t="s">
        <v>68</v>
      </c>
      <c r="D2" s="42"/>
      <c r="E2" s="43"/>
      <c r="G2" s="42" t="s">
        <v>110</v>
      </c>
      <c r="H2" s="42">
        <v>35</v>
      </c>
      <c r="I2" s="42">
        <v>6</v>
      </c>
      <c r="J2" s="42">
        <f t="shared" ref="J2:J4" si="0">H2*I2</f>
        <v>210</v>
      </c>
      <c r="K2" s="42">
        <v>0.3</v>
      </c>
      <c r="L2" s="42">
        <f t="shared" ref="L2:L4" si="1">J2*K2</f>
        <v>63</v>
      </c>
      <c r="M2" s="42">
        <v>140</v>
      </c>
      <c r="N2" s="42">
        <v>39</v>
      </c>
      <c r="O2" s="42">
        <v>33</v>
      </c>
      <c r="P2" s="42">
        <f t="shared" ref="P2:P4" si="2">MAX(M2/160,N2/160,O2/160)</f>
        <v>0.875</v>
      </c>
      <c r="Q2" s="42">
        <f t="shared" ref="Q2:Q4" si="3">P2*H2</f>
        <v>30.625</v>
      </c>
      <c r="R2" s="43" t="s">
        <v>75</v>
      </c>
    </row>
    <row r="3" spans="1:21" ht="22.5" customHeight="1" x14ac:dyDescent="0.2">
      <c r="A3" s="44" t="s">
        <v>69</v>
      </c>
      <c r="B3" s="44">
        <v>60</v>
      </c>
      <c r="C3" s="44" t="s">
        <v>68</v>
      </c>
      <c r="D3" s="44"/>
      <c r="E3" s="45"/>
      <c r="G3" s="44" t="s">
        <v>111</v>
      </c>
      <c r="H3" s="44">
        <v>15</v>
      </c>
      <c r="I3" s="44">
        <v>7</v>
      </c>
      <c r="J3" s="44">
        <f t="shared" si="0"/>
        <v>105</v>
      </c>
      <c r="K3" s="44">
        <v>0.33500000000000002</v>
      </c>
      <c r="L3" s="44">
        <f t="shared" si="1"/>
        <v>35.175000000000004</v>
      </c>
      <c r="M3" s="44">
        <v>154</v>
      </c>
      <c r="N3" s="44">
        <v>42</v>
      </c>
      <c r="O3" s="44">
        <v>35</v>
      </c>
      <c r="P3" s="44">
        <f t="shared" si="2"/>
        <v>0.96250000000000002</v>
      </c>
      <c r="Q3" s="44">
        <f t="shared" si="3"/>
        <v>14.4375</v>
      </c>
      <c r="R3" s="45" t="s">
        <v>75</v>
      </c>
    </row>
    <row r="4" spans="1:21" ht="22.5" customHeight="1" x14ac:dyDescent="0.2">
      <c r="A4" s="42" t="s">
        <v>70</v>
      </c>
      <c r="B4" s="42">
        <v>30</v>
      </c>
      <c r="C4" s="42" t="s">
        <v>68</v>
      </c>
      <c r="D4" s="42"/>
      <c r="E4" s="43"/>
      <c r="G4" s="42" t="s">
        <v>112</v>
      </c>
      <c r="H4" s="42">
        <v>10</v>
      </c>
      <c r="I4" s="42">
        <v>3</v>
      </c>
      <c r="J4" s="42">
        <f t="shared" si="0"/>
        <v>30</v>
      </c>
      <c r="K4" s="42">
        <v>1.2</v>
      </c>
      <c r="L4" s="42">
        <f t="shared" si="1"/>
        <v>36</v>
      </c>
      <c r="M4" s="42">
        <v>165</v>
      </c>
      <c r="N4" s="42">
        <v>82.5</v>
      </c>
      <c r="O4" s="42">
        <v>195</v>
      </c>
      <c r="P4" s="42">
        <f t="shared" si="2"/>
        <v>1.21875</v>
      </c>
      <c r="Q4" s="42">
        <f t="shared" si="3"/>
        <v>12.1875</v>
      </c>
      <c r="R4" s="43" t="s">
        <v>75</v>
      </c>
    </row>
    <row r="5" spans="1:21" ht="22.5" customHeight="1" x14ac:dyDescent="0.2">
      <c r="A5" s="44" t="s">
        <v>71</v>
      </c>
      <c r="B5" s="44">
        <v>5</v>
      </c>
      <c r="C5" s="44" t="s">
        <v>68</v>
      </c>
      <c r="D5" s="44"/>
      <c r="E5" s="45"/>
      <c r="G5" s="46" t="s">
        <v>12</v>
      </c>
      <c r="H5" s="46">
        <f>SUM(H2:H4)</f>
        <v>60</v>
      </c>
      <c r="I5" s="46"/>
      <c r="J5" s="46">
        <f>SUM(J2:J4)</f>
        <v>345</v>
      </c>
      <c r="K5" s="46">
        <f>SUM('Farm Inputs'!$K$2:$K$4)</f>
        <v>1.835</v>
      </c>
      <c r="L5" s="46">
        <f>SUM(L2:L4)</f>
        <v>134.17500000000001</v>
      </c>
      <c r="M5" s="46"/>
      <c r="N5" s="46"/>
      <c r="O5" s="46"/>
      <c r="P5" s="46">
        <f>SUM('Farm Inputs'!$P$2:$P$4)</f>
        <v>3.0562499999999999</v>
      </c>
      <c r="Q5" s="46">
        <f>SUM('Farm Inputs'!$Q$2:$Q$4)</f>
        <v>57.25</v>
      </c>
      <c r="R5" s="47"/>
    </row>
    <row r="6" spans="1:21" ht="22.5" customHeight="1" x14ac:dyDescent="0.2">
      <c r="A6" s="42" t="s">
        <v>72</v>
      </c>
      <c r="B6" s="42">
        <v>1</v>
      </c>
      <c r="C6" s="42" t="s">
        <v>68</v>
      </c>
      <c r="D6" s="42"/>
      <c r="E6" s="43"/>
    </row>
    <row r="7" spans="1:21" ht="22.5" customHeight="1" x14ac:dyDescent="0.2">
      <c r="A7" s="44" t="s">
        <v>73</v>
      </c>
      <c r="B7" s="44">
        <v>50</v>
      </c>
      <c r="C7" s="44" t="s">
        <v>74</v>
      </c>
      <c r="D7" s="44"/>
      <c r="E7" s="45" t="s">
        <v>75</v>
      </c>
      <c r="M7" s="48" t="s">
        <v>113</v>
      </c>
      <c r="N7" s="49"/>
      <c r="O7" s="49"/>
      <c r="P7" s="49"/>
      <c r="Q7" s="49"/>
      <c r="R7" s="49"/>
      <c r="S7" s="49"/>
      <c r="T7" s="49"/>
      <c r="U7" s="50"/>
    </row>
    <row r="8" spans="1:21" ht="22.5" customHeight="1" x14ac:dyDescent="0.2">
      <c r="A8" s="42" t="s">
        <v>76</v>
      </c>
      <c r="B8" s="42">
        <v>75</v>
      </c>
      <c r="C8" s="42" t="s">
        <v>74</v>
      </c>
      <c r="D8" s="42"/>
      <c r="E8" s="43" t="s">
        <v>75</v>
      </c>
      <c r="G8" s="51" t="s">
        <v>62</v>
      </c>
      <c r="H8" s="51" t="s">
        <v>63</v>
      </c>
      <c r="I8" s="51" t="s">
        <v>64</v>
      </c>
      <c r="J8" s="51" t="s">
        <v>114</v>
      </c>
      <c r="K8" s="51" t="s">
        <v>66</v>
      </c>
      <c r="M8" s="52" t="s">
        <v>62</v>
      </c>
      <c r="N8" s="52" t="s">
        <v>63</v>
      </c>
      <c r="O8" s="52" t="s">
        <v>64</v>
      </c>
      <c r="P8" s="52" t="s">
        <v>62</v>
      </c>
      <c r="Q8" s="52" t="s">
        <v>63</v>
      </c>
      <c r="R8" s="52" t="s">
        <v>64</v>
      </c>
      <c r="S8" s="52" t="s">
        <v>62</v>
      </c>
      <c r="T8" s="52" t="s">
        <v>63</v>
      </c>
      <c r="U8" s="52" t="s">
        <v>64</v>
      </c>
    </row>
    <row r="9" spans="1:21" ht="22.5" customHeight="1" x14ac:dyDescent="0.2">
      <c r="A9" s="44" t="s">
        <v>77</v>
      </c>
      <c r="B9" s="44">
        <v>300</v>
      </c>
      <c r="C9" s="44" t="s">
        <v>74</v>
      </c>
      <c r="D9" s="44"/>
      <c r="E9" s="45" t="s">
        <v>75</v>
      </c>
      <c r="G9" s="53" t="s">
        <v>115</v>
      </c>
      <c r="H9" s="53">
        <v>60</v>
      </c>
      <c r="I9" s="53" t="s">
        <v>116</v>
      </c>
      <c r="J9" s="53"/>
      <c r="K9" s="53" t="s">
        <v>75</v>
      </c>
      <c r="M9" s="52" t="s">
        <v>110</v>
      </c>
      <c r="N9" s="54"/>
      <c r="O9" s="54"/>
      <c r="P9" s="52" t="s">
        <v>111</v>
      </c>
      <c r="Q9" s="54"/>
      <c r="R9" s="54"/>
      <c r="S9" s="52" t="s">
        <v>112</v>
      </c>
      <c r="T9" s="54"/>
      <c r="U9" s="54"/>
    </row>
    <row r="10" spans="1:21" ht="22.5" customHeight="1" x14ac:dyDescent="0.2">
      <c r="A10" s="42" t="s">
        <v>78</v>
      </c>
      <c r="B10" s="42">
        <v>8000</v>
      </c>
      <c r="C10" s="42" t="s">
        <v>79</v>
      </c>
      <c r="D10" s="42"/>
      <c r="E10" s="43" t="s">
        <v>75</v>
      </c>
      <c r="G10" s="53" t="s">
        <v>117</v>
      </c>
      <c r="H10" s="53">
        <v>5</v>
      </c>
      <c r="I10" s="53" t="s">
        <v>116</v>
      </c>
      <c r="J10" s="53"/>
      <c r="K10" s="53" t="s">
        <v>75</v>
      </c>
      <c r="M10" s="54" t="s">
        <v>118</v>
      </c>
      <c r="N10" s="54">
        <f>M2-H38</f>
        <v>128.80794736842105</v>
      </c>
      <c r="O10" s="54" t="s">
        <v>119</v>
      </c>
      <c r="P10" s="54" t="s">
        <v>118</v>
      </c>
      <c r="Q10" s="54">
        <f>M3-H38</f>
        <v>142.80794736842105</v>
      </c>
      <c r="R10" s="54" t="s">
        <v>119</v>
      </c>
      <c r="S10" s="54" t="s">
        <v>118</v>
      </c>
      <c r="T10" s="54">
        <f>M4-H38</f>
        <v>153.80794736842105</v>
      </c>
      <c r="U10" s="54" t="s">
        <v>119</v>
      </c>
    </row>
    <row r="11" spans="1:21" ht="22.5" customHeight="1" x14ac:dyDescent="0.2">
      <c r="A11" s="44" t="s">
        <v>80</v>
      </c>
      <c r="B11" s="44">
        <f>B10*B7</f>
        <v>400000</v>
      </c>
      <c r="C11" s="44" t="s">
        <v>79</v>
      </c>
      <c r="D11" s="44"/>
      <c r="E11" s="45"/>
      <c r="G11" s="53" t="s">
        <v>120</v>
      </c>
      <c r="H11" s="53">
        <v>0.15</v>
      </c>
      <c r="I11" s="53" t="s">
        <v>116</v>
      </c>
      <c r="J11" s="53"/>
      <c r="K11" s="53" t="s">
        <v>75</v>
      </c>
      <c r="M11" s="54" t="s">
        <v>121</v>
      </c>
      <c r="N11" s="54">
        <f>N2-H39</f>
        <v>33.714864035087722</v>
      </c>
      <c r="O11" s="54" t="s">
        <v>119</v>
      </c>
      <c r="P11" s="54" t="s">
        <v>121</v>
      </c>
      <c r="Q11" s="54">
        <f>N3-H39</f>
        <v>36.714864035087722</v>
      </c>
      <c r="R11" s="54" t="s">
        <v>119</v>
      </c>
      <c r="S11" s="54" t="s">
        <v>121</v>
      </c>
      <c r="T11" s="54">
        <f>N4-H39</f>
        <v>77.214864035087714</v>
      </c>
      <c r="U11" s="54" t="s">
        <v>119</v>
      </c>
    </row>
    <row r="12" spans="1:21" ht="22.5" customHeight="1" x14ac:dyDescent="0.2">
      <c r="A12" s="42" t="s">
        <v>81</v>
      </c>
      <c r="B12" s="42">
        <v>1.04</v>
      </c>
      <c r="C12" s="42" t="s">
        <v>82</v>
      </c>
      <c r="D12" s="42"/>
      <c r="E12" s="43" t="s">
        <v>75</v>
      </c>
      <c r="G12" s="53" t="s">
        <v>122</v>
      </c>
      <c r="H12" s="53">
        <f t="shared" ref="H12:H14" si="4">H9*B7*365/1000</f>
        <v>1095</v>
      </c>
      <c r="I12" s="53" t="s">
        <v>123</v>
      </c>
      <c r="J12" s="53"/>
      <c r="K12" s="53"/>
      <c r="M12" s="54" t="s">
        <v>124</v>
      </c>
      <c r="N12" s="54">
        <f>MAX(O2-H40,0)</f>
        <v>19.320824561403505</v>
      </c>
      <c r="O12" s="54" t="s">
        <v>119</v>
      </c>
      <c r="P12" s="54" t="s">
        <v>124</v>
      </c>
      <c r="Q12" s="54">
        <f>MAX(O3-H40,0)</f>
        <v>21.320824561403505</v>
      </c>
      <c r="R12" s="54" t="s">
        <v>119</v>
      </c>
      <c r="S12" s="54" t="s">
        <v>124</v>
      </c>
      <c r="T12" s="54">
        <f>MAX(O4-H40,0)</f>
        <v>181.3208245614035</v>
      </c>
      <c r="U12" s="54" t="s">
        <v>119</v>
      </c>
    </row>
    <row r="13" spans="1:21" ht="22.5" customHeight="1" x14ac:dyDescent="0.2">
      <c r="A13" s="44" t="s">
        <v>83</v>
      </c>
      <c r="B13" s="44">
        <f>J5*1000</f>
        <v>345000</v>
      </c>
      <c r="C13" s="44" t="s">
        <v>79</v>
      </c>
      <c r="D13" s="44"/>
      <c r="E13" s="45"/>
      <c r="G13" s="53" t="s">
        <v>125</v>
      </c>
      <c r="H13" s="53">
        <f t="shared" si="4"/>
        <v>136.875</v>
      </c>
      <c r="I13" s="53" t="s">
        <v>123</v>
      </c>
      <c r="J13" s="53"/>
      <c r="K13" s="53"/>
      <c r="M13" s="52" t="s">
        <v>126</v>
      </c>
      <c r="N13" s="54"/>
      <c r="O13" s="54"/>
      <c r="P13" s="52" t="s">
        <v>126</v>
      </c>
      <c r="Q13" s="54"/>
      <c r="R13" s="54"/>
      <c r="S13" s="52" t="s">
        <v>126</v>
      </c>
      <c r="T13" s="54"/>
      <c r="U13" s="54"/>
    </row>
    <row r="14" spans="1:21" ht="22.5" customHeight="1" x14ac:dyDescent="0.2">
      <c r="A14" s="42" t="s">
        <v>84</v>
      </c>
      <c r="B14" s="42"/>
      <c r="C14" s="42"/>
      <c r="D14" s="42"/>
      <c r="E14" s="43"/>
      <c r="G14" s="53" t="s">
        <v>127</v>
      </c>
      <c r="H14" s="53">
        <f t="shared" si="4"/>
        <v>16.425000000000001</v>
      </c>
      <c r="I14" s="53" t="s">
        <v>123</v>
      </c>
      <c r="J14" s="53"/>
      <c r="K14" s="53"/>
      <c r="M14" s="54" t="s">
        <v>128</v>
      </c>
      <c r="N14" s="54">
        <f t="shared" ref="N14:N16" si="5">N10/160</f>
        <v>0.80504967105263159</v>
      </c>
      <c r="O14" s="54" t="s">
        <v>129</v>
      </c>
      <c r="P14" s="54" t="s">
        <v>128</v>
      </c>
      <c r="Q14" s="54">
        <f t="shared" ref="Q14:Q16" si="6">Q10/160</f>
        <v>0.89254967105263161</v>
      </c>
      <c r="R14" s="54" t="s">
        <v>129</v>
      </c>
      <c r="S14" s="54" t="s">
        <v>128</v>
      </c>
      <c r="T14" s="54">
        <f t="shared" ref="T14:T16" si="7">T10/160</f>
        <v>0.96129967105263159</v>
      </c>
      <c r="U14" s="54" t="s">
        <v>129</v>
      </c>
    </row>
    <row r="15" spans="1:21" ht="22.5" customHeight="1" x14ac:dyDescent="0.2">
      <c r="A15" s="44" t="s">
        <v>85</v>
      </c>
      <c r="B15" s="44">
        <v>0.25</v>
      </c>
      <c r="C15" s="44" t="s">
        <v>86</v>
      </c>
      <c r="D15" s="44" t="s">
        <v>87</v>
      </c>
      <c r="E15" s="45" t="s">
        <v>75</v>
      </c>
      <c r="G15" s="53" t="s">
        <v>130</v>
      </c>
      <c r="H15" s="53">
        <f>SUM(H12:H14)</f>
        <v>1248.3</v>
      </c>
      <c r="I15" s="53" t="s">
        <v>123</v>
      </c>
      <c r="J15" s="53"/>
      <c r="K15" s="53"/>
      <c r="M15" s="54" t="s">
        <v>131</v>
      </c>
      <c r="N15" s="54">
        <f t="shared" si="5"/>
        <v>0.21071790021929826</v>
      </c>
      <c r="O15" s="54" t="s">
        <v>129</v>
      </c>
      <c r="P15" s="54" t="s">
        <v>131</v>
      </c>
      <c r="Q15" s="54">
        <f t="shared" si="6"/>
        <v>0.22946790021929825</v>
      </c>
      <c r="R15" s="54" t="s">
        <v>129</v>
      </c>
      <c r="S15" s="54" t="s">
        <v>131</v>
      </c>
      <c r="T15" s="54">
        <f t="shared" si="7"/>
        <v>0.48259290021929824</v>
      </c>
      <c r="U15" s="54" t="s">
        <v>129</v>
      </c>
    </row>
    <row r="16" spans="1:21" ht="22.5" customHeight="1" x14ac:dyDescent="0.2">
      <c r="A16" s="42" t="s">
        <v>88</v>
      </c>
      <c r="B16" s="42">
        <f>B32+H31</f>
        <v>95424.039144736831</v>
      </c>
      <c r="C16" s="42" t="s">
        <v>89</v>
      </c>
      <c r="D16" s="42"/>
      <c r="E16" s="43"/>
      <c r="M16" s="54" t="s">
        <v>132</v>
      </c>
      <c r="N16" s="54">
        <f t="shared" si="5"/>
        <v>0.1207551535087719</v>
      </c>
      <c r="O16" s="54"/>
      <c r="P16" s="54" t="s">
        <v>132</v>
      </c>
      <c r="Q16" s="54">
        <f t="shared" si="6"/>
        <v>0.1332551535087719</v>
      </c>
      <c r="R16" s="54"/>
      <c r="S16" s="54" t="s">
        <v>132</v>
      </c>
      <c r="T16" s="54">
        <f t="shared" si="7"/>
        <v>1.1332551535087718</v>
      </c>
      <c r="U16" s="54"/>
    </row>
    <row r="17" spans="1:21" ht="22.5" customHeight="1" x14ac:dyDescent="0.2">
      <c r="A17" s="44" t="s">
        <v>90</v>
      </c>
      <c r="B17" s="44">
        <v>0.25</v>
      </c>
      <c r="C17" s="44" t="s">
        <v>91</v>
      </c>
      <c r="D17" s="44"/>
      <c r="E17" s="45" t="s">
        <v>75</v>
      </c>
      <c r="M17" s="54" t="s">
        <v>133</v>
      </c>
      <c r="N17" s="54">
        <f>MAX(N14,N15,N16)</f>
        <v>0.80504967105263159</v>
      </c>
      <c r="O17" s="54" t="s">
        <v>129</v>
      </c>
      <c r="P17" s="54" t="s">
        <v>133</v>
      </c>
      <c r="Q17" s="54">
        <f>MAX(Q14,Q15,Q16)</f>
        <v>0.89254967105263161</v>
      </c>
      <c r="R17" s="54" t="s">
        <v>129</v>
      </c>
      <c r="S17" s="54" t="s">
        <v>133</v>
      </c>
      <c r="T17" s="54">
        <f>MAX(T14,T15,T16)</f>
        <v>1.1332551535087718</v>
      </c>
      <c r="U17" s="54" t="s">
        <v>129</v>
      </c>
    </row>
    <row r="18" spans="1:21" ht="22.5" customHeight="1" x14ac:dyDescent="0.2">
      <c r="A18" s="42" t="s">
        <v>92</v>
      </c>
      <c r="B18" s="42">
        <v>7.0000000000000007E-2</v>
      </c>
      <c r="C18" s="42" t="s">
        <v>86</v>
      </c>
      <c r="D18" s="42" t="s">
        <v>93</v>
      </c>
      <c r="E18" s="43" t="s">
        <v>75</v>
      </c>
      <c r="G18" s="55" t="s">
        <v>62</v>
      </c>
      <c r="H18" s="55" t="s">
        <v>63</v>
      </c>
      <c r="I18" s="55" t="s">
        <v>64</v>
      </c>
      <c r="J18" s="55" t="s">
        <v>114</v>
      </c>
      <c r="K18" s="56" t="s">
        <v>66</v>
      </c>
      <c r="M18" s="54" t="s">
        <v>134</v>
      </c>
      <c r="N18" s="54">
        <f>N17*H2*0.45</f>
        <v>12.679532319078948</v>
      </c>
      <c r="O18" s="54" t="s">
        <v>135</v>
      </c>
      <c r="P18" s="54" t="s">
        <v>134</v>
      </c>
      <c r="Q18" s="54">
        <f>Q17*H3*0.45</f>
        <v>6.0247102796052641</v>
      </c>
      <c r="R18" s="54" t="s">
        <v>135</v>
      </c>
      <c r="S18" s="54" t="s">
        <v>134</v>
      </c>
      <c r="T18" s="54">
        <f>T17*H4*0.45</f>
        <v>5.0996481907894733</v>
      </c>
      <c r="U18" s="54" t="s">
        <v>135</v>
      </c>
    </row>
    <row r="19" spans="1:21" ht="22.5" customHeight="1" x14ac:dyDescent="0.2">
      <c r="A19" s="44" t="s">
        <v>94</v>
      </c>
      <c r="B19" s="44">
        <v>100</v>
      </c>
      <c r="C19" s="44" t="s">
        <v>95</v>
      </c>
      <c r="D19" s="44"/>
      <c r="E19" s="45" t="s">
        <v>75</v>
      </c>
      <c r="G19" s="42" t="s">
        <v>136</v>
      </c>
      <c r="H19" s="42">
        <v>0.04</v>
      </c>
      <c r="I19" s="42" t="s">
        <v>137</v>
      </c>
      <c r="J19" s="42"/>
      <c r="K19" s="43" t="s">
        <v>75</v>
      </c>
      <c r="M19" s="54"/>
      <c r="N19" s="54"/>
      <c r="O19" s="54"/>
      <c r="P19" s="52" t="s">
        <v>12</v>
      </c>
      <c r="Q19" s="54">
        <f>(N18+Q18+T18)</f>
        <v>23.803890789473684</v>
      </c>
      <c r="R19" s="54" t="s">
        <v>135</v>
      </c>
      <c r="S19" s="54"/>
      <c r="T19" s="54"/>
      <c r="U19" s="54"/>
    </row>
    <row r="20" spans="1:21" ht="22.5" customHeight="1" x14ac:dyDescent="0.2">
      <c r="A20" s="42" t="s">
        <v>96</v>
      </c>
      <c r="B20" s="42">
        <v>75</v>
      </c>
      <c r="C20" s="42" t="s">
        <v>97</v>
      </c>
      <c r="D20" s="42"/>
      <c r="E20" s="43" t="s">
        <v>75</v>
      </c>
      <c r="G20" s="44" t="s">
        <v>138</v>
      </c>
      <c r="H20" s="44">
        <v>0.06</v>
      </c>
      <c r="I20" s="44" t="s">
        <v>137</v>
      </c>
      <c r="J20" s="44"/>
      <c r="K20" s="45" t="s">
        <v>75</v>
      </c>
      <c r="M20" s="54"/>
      <c r="N20" s="54"/>
      <c r="O20" s="54"/>
      <c r="P20" s="52" t="s">
        <v>139</v>
      </c>
      <c r="Q20" s="54">
        <f>Q19*B42</f>
        <v>9521.556315789474</v>
      </c>
      <c r="R20" s="54" t="s">
        <v>140</v>
      </c>
      <c r="S20" s="54"/>
      <c r="T20" s="54"/>
      <c r="U20" s="54"/>
    </row>
    <row r="21" spans="1:21" ht="22.5" customHeight="1" x14ac:dyDescent="0.2">
      <c r="A21" s="57" t="s">
        <v>98</v>
      </c>
      <c r="B21" s="58">
        <v>10</v>
      </c>
      <c r="C21" s="57" t="s">
        <v>97</v>
      </c>
      <c r="D21" s="58"/>
      <c r="E21" s="59" t="s">
        <v>75</v>
      </c>
      <c r="G21" s="42" t="s">
        <v>141</v>
      </c>
      <c r="H21" s="42">
        <v>7.0000000000000007E-2</v>
      </c>
      <c r="I21" s="42" t="s">
        <v>137</v>
      </c>
      <c r="J21" s="42"/>
      <c r="K21" s="43" t="s">
        <v>75</v>
      </c>
    </row>
    <row r="22" spans="1:21" ht="22.5" customHeight="1" x14ac:dyDescent="0.2">
      <c r="G22" s="44" t="s">
        <v>142</v>
      </c>
      <c r="H22" s="44">
        <f>H19*H9*B7*H49</f>
        <v>42.10526315789474</v>
      </c>
      <c r="I22" s="44" t="s">
        <v>143</v>
      </c>
      <c r="J22" s="44"/>
      <c r="K22" s="45"/>
    </row>
    <row r="23" spans="1:21" ht="22.5" customHeight="1" x14ac:dyDescent="0.2">
      <c r="G23" s="42" t="s">
        <v>144</v>
      </c>
      <c r="H23" s="42">
        <f>H20*H10*B8*H49</f>
        <v>7.8947368421052637</v>
      </c>
      <c r="I23" s="42" t="s">
        <v>143</v>
      </c>
      <c r="J23" s="42"/>
      <c r="K23" s="43"/>
      <c r="M23" s="55" t="s">
        <v>62</v>
      </c>
      <c r="N23" s="55" t="s">
        <v>63</v>
      </c>
      <c r="O23" s="55" t="s">
        <v>64</v>
      </c>
      <c r="P23" s="55" t="s">
        <v>114</v>
      </c>
      <c r="Q23" s="56" t="s">
        <v>66</v>
      </c>
    </row>
    <row r="24" spans="1:21" ht="22.5" customHeight="1" x14ac:dyDescent="0.2">
      <c r="G24" s="44" t="s">
        <v>145</v>
      </c>
      <c r="H24" s="44">
        <f>H21*H11*B9*H49</f>
        <v>1.1052631578947372</v>
      </c>
      <c r="I24" s="44" t="s">
        <v>143</v>
      </c>
      <c r="J24" s="44"/>
      <c r="K24" s="45"/>
      <c r="M24" s="42" t="s">
        <v>146</v>
      </c>
      <c r="N24" s="42">
        <v>8.4</v>
      </c>
      <c r="O24" s="42" t="s">
        <v>147</v>
      </c>
      <c r="P24" s="42"/>
      <c r="Q24" s="43" t="s">
        <v>75</v>
      </c>
    </row>
    <row r="25" spans="1:21" ht="22.5" customHeight="1" x14ac:dyDescent="0.2">
      <c r="A25" s="60" t="s">
        <v>62</v>
      </c>
      <c r="B25" s="61" t="s">
        <v>63</v>
      </c>
      <c r="C25" s="61" t="s">
        <v>64</v>
      </c>
      <c r="D25" s="61" t="s">
        <v>114</v>
      </c>
      <c r="E25" s="62" t="s">
        <v>66</v>
      </c>
      <c r="G25" s="42" t="s">
        <v>148</v>
      </c>
      <c r="H25" s="42">
        <f>SUM(H22:H24)</f>
        <v>51.10526315789474</v>
      </c>
      <c r="I25" s="42" t="s">
        <v>143</v>
      </c>
      <c r="J25" s="42"/>
      <c r="K25" s="43"/>
      <c r="M25" s="44" t="s">
        <v>149</v>
      </c>
      <c r="N25" s="44">
        <v>4.5</v>
      </c>
      <c r="O25" s="44" t="s">
        <v>147</v>
      </c>
      <c r="P25" s="44"/>
      <c r="Q25" s="45" t="s">
        <v>75</v>
      </c>
    </row>
    <row r="26" spans="1:21" ht="22.5" customHeight="1" x14ac:dyDescent="0.2">
      <c r="A26" s="42" t="s">
        <v>150</v>
      </c>
      <c r="B26" s="42">
        <v>400</v>
      </c>
      <c r="C26" s="42" t="s">
        <v>151</v>
      </c>
      <c r="D26" s="42"/>
      <c r="E26" s="43" t="s">
        <v>75</v>
      </c>
      <c r="G26" s="44" t="s">
        <v>152</v>
      </c>
      <c r="H26" s="44">
        <f>H25*365</f>
        <v>18653.42105263158</v>
      </c>
      <c r="I26" s="44" t="s">
        <v>153</v>
      </c>
      <c r="J26" s="44"/>
      <c r="K26" s="45"/>
      <c r="M26" s="42" t="s">
        <v>154</v>
      </c>
      <c r="N26" s="42">
        <v>12.3</v>
      </c>
      <c r="O26" s="42" t="s">
        <v>147</v>
      </c>
      <c r="P26" s="42"/>
      <c r="Q26" s="43" t="s">
        <v>75</v>
      </c>
    </row>
    <row r="27" spans="1:21" ht="22.5" customHeight="1" x14ac:dyDescent="0.2">
      <c r="A27" s="44" t="s">
        <v>155</v>
      </c>
      <c r="B27" s="44">
        <v>1.95</v>
      </c>
      <c r="C27" s="44" t="s">
        <v>156</v>
      </c>
      <c r="D27" s="44" t="s">
        <v>157</v>
      </c>
      <c r="E27" s="45" t="s">
        <v>75</v>
      </c>
      <c r="G27" s="42" t="s">
        <v>158</v>
      </c>
      <c r="H27" s="42">
        <v>6</v>
      </c>
      <c r="I27" s="42" t="s">
        <v>159</v>
      </c>
      <c r="J27" s="42" t="s">
        <v>160</v>
      </c>
      <c r="K27" s="43"/>
      <c r="M27" s="44" t="s">
        <v>161</v>
      </c>
      <c r="N27" s="44">
        <v>0.54</v>
      </c>
      <c r="O27" s="44" t="s">
        <v>162</v>
      </c>
      <c r="P27" s="44"/>
      <c r="Q27" s="45" t="s">
        <v>75</v>
      </c>
    </row>
    <row r="28" spans="1:21" ht="22.5" customHeight="1" x14ac:dyDescent="0.2">
      <c r="A28" s="42" t="s">
        <v>163</v>
      </c>
      <c r="B28" s="42">
        <f>1000/(B26/B27)</f>
        <v>4.875</v>
      </c>
      <c r="C28" s="42" t="s">
        <v>164</v>
      </c>
      <c r="D28" s="42"/>
      <c r="E28" s="43"/>
      <c r="G28" s="44" t="s">
        <v>165</v>
      </c>
      <c r="H28" s="44">
        <v>0.35</v>
      </c>
      <c r="I28" s="44" t="s">
        <v>166</v>
      </c>
      <c r="J28" s="44" t="s">
        <v>167</v>
      </c>
      <c r="K28" s="45"/>
      <c r="M28" s="42" t="s">
        <v>168</v>
      </c>
      <c r="N28" s="42">
        <v>0.65</v>
      </c>
      <c r="O28" s="42" t="s">
        <v>162</v>
      </c>
      <c r="P28" s="42"/>
      <c r="Q28" s="43" t="s">
        <v>75</v>
      </c>
    </row>
    <row r="29" spans="1:21" ht="22.5" customHeight="1" x14ac:dyDescent="0.2">
      <c r="A29" s="44" t="s">
        <v>169</v>
      </c>
      <c r="B29" s="44">
        <f>B33*B28</f>
        <v>243.75</v>
      </c>
      <c r="C29" s="44" t="s">
        <v>156</v>
      </c>
      <c r="D29" s="44"/>
      <c r="E29" s="45"/>
      <c r="G29" s="42" t="s">
        <v>170</v>
      </c>
      <c r="H29" s="42">
        <f>H26*H27*H28</f>
        <v>39172.184210526313</v>
      </c>
      <c r="I29" s="42" t="s">
        <v>89</v>
      </c>
      <c r="J29" s="42"/>
      <c r="K29" s="43"/>
      <c r="M29" s="44" t="s">
        <v>171</v>
      </c>
      <c r="N29" s="44">
        <v>0.99</v>
      </c>
      <c r="O29" s="44" t="s">
        <v>162</v>
      </c>
      <c r="P29" s="44"/>
      <c r="Q29" s="45" t="s">
        <v>75</v>
      </c>
    </row>
    <row r="30" spans="1:21" ht="22.5" customHeight="1" x14ac:dyDescent="0.2">
      <c r="A30" s="42" t="s">
        <v>172</v>
      </c>
      <c r="B30" s="42">
        <v>0.21</v>
      </c>
      <c r="C30" s="42" t="s">
        <v>166</v>
      </c>
      <c r="D30" s="42" t="s">
        <v>173</v>
      </c>
      <c r="E30" s="43"/>
      <c r="G30" s="44" t="s">
        <v>174</v>
      </c>
      <c r="H30" s="44">
        <f>MIN(0.2 + 0.1 * (5 - 0) / 15, 0.3)</f>
        <v>0.23333333333333334</v>
      </c>
      <c r="I30" s="44"/>
      <c r="J30" s="44" t="s">
        <v>175</v>
      </c>
      <c r="K30" s="45"/>
      <c r="M30" s="42" t="s">
        <v>176</v>
      </c>
      <c r="N30" s="42">
        <v>600</v>
      </c>
      <c r="O30" s="42" t="s">
        <v>177</v>
      </c>
      <c r="P30" s="42"/>
      <c r="Q30" s="43" t="s">
        <v>75</v>
      </c>
    </row>
    <row r="31" spans="1:21" ht="22.5" customHeight="1" x14ac:dyDescent="0.2">
      <c r="A31" s="44" t="s">
        <v>178</v>
      </c>
      <c r="B31" s="44">
        <v>3.5</v>
      </c>
      <c r="C31" s="44" t="s">
        <v>179</v>
      </c>
      <c r="D31" s="44" t="s">
        <v>180</v>
      </c>
      <c r="E31" s="45" t="s">
        <v>75</v>
      </c>
      <c r="G31" s="63" t="s">
        <v>181</v>
      </c>
      <c r="H31" s="63">
        <f>H29*(1-H30)</f>
        <v>30032.007894736838</v>
      </c>
      <c r="I31" s="63" t="s">
        <v>89</v>
      </c>
      <c r="J31" s="63"/>
      <c r="K31" s="64"/>
      <c r="M31" s="44" t="s">
        <v>182</v>
      </c>
      <c r="N31" s="44">
        <v>76</v>
      </c>
      <c r="O31" s="44" t="s">
        <v>177</v>
      </c>
      <c r="P31" s="44"/>
      <c r="Q31" s="45" t="s">
        <v>75</v>
      </c>
    </row>
    <row r="32" spans="1:21" ht="22.5" customHeight="1" x14ac:dyDescent="0.2">
      <c r="A32" s="42" t="s">
        <v>183</v>
      </c>
      <c r="B32" s="42">
        <f>B29*B30*B31*365</f>
        <v>65392.03125</v>
      </c>
      <c r="C32" s="42" t="s">
        <v>89</v>
      </c>
      <c r="D32" s="42"/>
      <c r="E32" s="43"/>
      <c r="M32" s="42" t="s">
        <v>184</v>
      </c>
      <c r="N32" s="42">
        <v>1.4</v>
      </c>
      <c r="O32" s="42" t="s">
        <v>177</v>
      </c>
      <c r="P32" s="42"/>
      <c r="Q32" s="43" t="s">
        <v>75</v>
      </c>
    </row>
    <row r="33" spans="1:17" ht="22.5" customHeight="1" x14ac:dyDescent="0.2">
      <c r="A33" s="44" t="s">
        <v>185</v>
      </c>
      <c r="B33" s="44">
        <v>50</v>
      </c>
      <c r="C33" s="44" t="s">
        <v>186</v>
      </c>
      <c r="D33" s="44"/>
      <c r="E33" s="45"/>
      <c r="M33" s="44" t="s">
        <v>187</v>
      </c>
      <c r="N33" s="44">
        <f t="shared" ref="N33:N35" si="8">N24*(N30/1000)*365*B7</f>
        <v>91980</v>
      </c>
      <c r="O33" s="44" t="s">
        <v>188</v>
      </c>
      <c r="P33" s="44"/>
      <c r="Q33" s="45"/>
    </row>
    <row r="34" spans="1:17" ht="22.5" customHeight="1" x14ac:dyDescent="0.2">
      <c r="A34" s="42" t="s">
        <v>189</v>
      </c>
      <c r="B34" s="42">
        <f>B33*3</f>
        <v>150</v>
      </c>
      <c r="C34" s="42" t="s">
        <v>190</v>
      </c>
      <c r="D34" s="42" t="s">
        <v>191</v>
      </c>
      <c r="E34" s="43"/>
      <c r="G34" s="55" t="s">
        <v>62</v>
      </c>
      <c r="H34" s="55" t="s">
        <v>63</v>
      </c>
      <c r="I34" s="55" t="s">
        <v>64</v>
      </c>
      <c r="J34" s="55" t="s">
        <v>114</v>
      </c>
      <c r="K34" s="56" t="s">
        <v>66</v>
      </c>
      <c r="M34" s="42" t="s">
        <v>192</v>
      </c>
      <c r="N34" s="42">
        <f t="shared" si="8"/>
        <v>9362.2499999999982</v>
      </c>
      <c r="O34" s="42" t="s">
        <v>188</v>
      </c>
      <c r="P34" s="42"/>
      <c r="Q34" s="43"/>
    </row>
    <row r="35" spans="1:17" ht="22.5" customHeight="1" x14ac:dyDescent="0.2">
      <c r="A35" s="57" t="s">
        <v>193</v>
      </c>
      <c r="B35" s="57">
        <v>0.14000000000000001</v>
      </c>
      <c r="C35" s="57" t="s">
        <v>166</v>
      </c>
      <c r="D35" s="57" t="s">
        <v>194</v>
      </c>
      <c r="E35" s="59" t="s">
        <v>75</v>
      </c>
      <c r="G35" s="42" t="s">
        <v>195</v>
      </c>
      <c r="H35" s="42">
        <v>3.6</v>
      </c>
      <c r="I35" s="42" t="s">
        <v>196</v>
      </c>
      <c r="J35" s="42"/>
      <c r="K35" s="43" t="s">
        <v>75</v>
      </c>
      <c r="M35" s="44" t="s">
        <v>197</v>
      </c>
      <c r="N35" s="44">
        <f t="shared" si="8"/>
        <v>1885.59</v>
      </c>
      <c r="O35" s="44" t="s">
        <v>188</v>
      </c>
      <c r="P35" s="44"/>
      <c r="Q35" s="45"/>
    </row>
    <row r="36" spans="1:17" ht="22.5" customHeight="1" x14ac:dyDescent="0.2">
      <c r="G36" s="44" t="s">
        <v>198</v>
      </c>
      <c r="H36" s="44">
        <v>1.7</v>
      </c>
      <c r="I36" s="44" t="s">
        <v>199</v>
      </c>
      <c r="J36" s="44"/>
      <c r="K36" s="45" t="s">
        <v>75</v>
      </c>
      <c r="M36" s="42" t="s">
        <v>200</v>
      </c>
      <c r="N36" s="42">
        <f t="shared" ref="N36:N38" si="9">N27*(N30/1000)*365*B7</f>
        <v>5913</v>
      </c>
      <c r="O36" s="42" t="s">
        <v>201</v>
      </c>
      <c r="P36" s="42"/>
      <c r="Q36" s="43"/>
    </row>
    <row r="37" spans="1:17" ht="22.5" customHeight="1" x14ac:dyDescent="0.2">
      <c r="G37" s="42" t="s">
        <v>202</v>
      </c>
      <c r="H37" s="42">
        <v>4.4000000000000004</v>
      </c>
      <c r="I37" s="42" t="s">
        <v>203</v>
      </c>
      <c r="J37" s="42"/>
      <c r="K37" s="43" t="s">
        <v>75</v>
      </c>
      <c r="M37" s="44" t="s">
        <v>204</v>
      </c>
      <c r="N37" s="44">
        <f t="shared" si="9"/>
        <v>1352.3249999999998</v>
      </c>
      <c r="O37" s="44" t="s">
        <v>201</v>
      </c>
      <c r="P37" s="44"/>
      <c r="Q37" s="45"/>
    </row>
    <row r="38" spans="1:17" ht="22.5" customHeight="1" x14ac:dyDescent="0.2">
      <c r="A38" s="65" t="s">
        <v>62</v>
      </c>
      <c r="B38" s="66" t="s">
        <v>63</v>
      </c>
      <c r="C38" s="66" t="s">
        <v>64</v>
      </c>
      <c r="D38" s="66" t="s">
        <v>114</v>
      </c>
      <c r="E38" s="67" t="s">
        <v>66</v>
      </c>
      <c r="G38" s="44" t="s">
        <v>205</v>
      </c>
      <c r="H38" s="44">
        <f>H35*B53</f>
        <v>11.192052631578949</v>
      </c>
      <c r="I38" s="44" t="s">
        <v>206</v>
      </c>
      <c r="J38" s="44"/>
      <c r="K38" s="45" t="s">
        <v>75</v>
      </c>
      <c r="M38" s="42" t="s">
        <v>207</v>
      </c>
      <c r="N38" s="42">
        <f t="shared" si="9"/>
        <v>151.76700000000002</v>
      </c>
      <c r="O38" s="42" t="s">
        <v>201</v>
      </c>
      <c r="P38" s="42"/>
      <c r="Q38" s="43"/>
    </row>
    <row r="39" spans="1:17" ht="22.5" customHeight="1" x14ac:dyDescent="0.2">
      <c r="A39" s="42" t="s">
        <v>208</v>
      </c>
      <c r="B39" s="42">
        <v>55</v>
      </c>
      <c r="C39" s="42" t="s">
        <v>68</v>
      </c>
      <c r="D39" s="42"/>
      <c r="E39" s="43"/>
      <c r="G39" s="42" t="s">
        <v>209</v>
      </c>
      <c r="H39" s="42">
        <f>H36*B53</f>
        <v>5.2851359649122811</v>
      </c>
      <c r="I39" s="42" t="s">
        <v>210</v>
      </c>
      <c r="J39" s="42"/>
      <c r="K39" s="43" t="s">
        <v>75</v>
      </c>
      <c r="M39" s="44" t="s">
        <v>211</v>
      </c>
      <c r="N39" s="44">
        <f>SUM(N33:N35)</f>
        <v>103227.84</v>
      </c>
      <c r="O39" s="44" t="s">
        <v>188</v>
      </c>
      <c r="P39" s="44"/>
      <c r="Q39" s="45"/>
    </row>
    <row r="40" spans="1:17" ht="22.5" customHeight="1" x14ac:dyDescent="0.2">
      <c r="A40" s="44" t="s">
        <v>212</v>
      </c>
      <c r="B40" s="44" t="s">
        <v>213</v>
      </c>
      <c r="C40" s="44"/>
      <c r="D40" s="44"/>
      <c r="E40" s="45" t="s">
        <v>75</v>
      </c>
      <c r="G40" s="57" t="s">
        <v>214</v>
      </c>
      <c r="H40" s="57">
        <f>H37*B53</f>
        <v>13.679175438596493</v>
      </c>
      <c r="I40" s="57" t="s">
        <v>215</v>
      </c>
      <c r="J40" s="57"/>
      <c r="K40" s="59" t="s">
        <v>75</v>
      </c>
      <c r="M40" s="42" t="s">
        <v>216</v>
      </c>
      <c r="N40" s="42">
        <f>SUM(N36:N38)</f>
        <v>7417.0919999999996</v>
      </c>
      <c r="O40" s="42" t="s">
        <v>201</v>
      </c>
      <c r="P40" s="42"/>
      <c r="Q40" s="43"/>
    </row>
    <row r="41" spans="1:17" ht="22.5" customHeight="1" x14ac:dyDescent="0.2">
      <c r="A41" s="42" t="s">
        <v>217</v>
      </c>
      <c r="B41" s="42" t="s">
        <v>218</v>
      </c>
      <c r="C41" s="42" t="s">
        <v>219</v>
      </c>
      <c r="D41" s="42"/>
      <c r="E41" s="43" t="s">
        <v>75</v>
      </c>
      <c r="M41" s="44" t="s">
        <v>220</v>
      </c>
      <c r="N41" s="44">
        <v>0.28000000000000003</v>
      </c>
      <c r="O41" s="44"/>
      <c r="P41" s="44" t="s">
        <v>221</v>
      </c>
      <c r="Q41" s="45" t="s">
        <v>75</v>
      </c>
    </row>
    <row r="42" spans="1:17" ht="22.5" customHeight="1" x14ac:dyDescent="0.2">
      <c r="A42" s="44" t="s">
        <v>222</v>
      </c>
      <c r="B42" s="44">
        <v>400</v>
      </c>
      <c r="C42" s="44" t="s">
        <v>223</v>
      </c>
      <c r="D42" s="44"/>
      <c r="E42" s="45" t="s">
        <v>75</v>
      </c>
      <c r="M42" s="42" t="s">
        <v>224</v>
      </c>
      <c r="N42" s="42">
        <v>0.24</v>
      </c>
      <c r="O42" s="42" t="s">
        <v>225</v>
      </c>
      <c r="P42" s="42"/>
      <c r="Q42" s="43" t="s">
        <v>75</v>
      </c>
    </row>
    <row r="43" spans="1:17" ht="22.5" customHeight="1" x14ac:dyDescent="0.2">
      <c r="A43" s="42" t="s">
        <v>226</v>
      </c>
      <c r="B43" s="42">
        <v>1.35</v>
      </c>
      <c r="C43" s="42" t="s">
        <v>227</v>
      </c>
      <c r="D43" s="42"/>
      <c r="E43" s="43" t="s">
        <v>75</v>
      </c>
      <c r="G43" s="55" t="s">
        <v>62</v>
      </c>
      <c r="H43" s="55" t="s">
        <v>63</v>
      </c>
      <c r="I43" s="55" t="s">
        <v>64</v>
      </c>
      <c r="J43" s="55" t="s">
        <v>114</v>
      </c>
      <c r="K43" s="56" t="s">
        <v>66</v>
      </c>
      <c r="M43" s="44" t="s">
        <v>228</v>
      </c>
      <c r="N43" s="44">
        <v>0.45</v>
      </c>
      <c r="O43" s="44" t="s">
        <v>225</v>
      </c>
      <c r="P43" s="44"/>
      <c r="Q43" s="45" t="s">
        <v>75</v>
      </c>
    </row>
    <row r="44" spans="1:17" ht="22.5" customHeight="1" x14ac:dyDescent="0.2">
      <c r="A44" s="44" t="s">
        <v>229</v>
      </c>
      <c r="B44" s="44">
        <f>'Farm Inputs'!$P$5</f>
        <v>3.0562499999999999</v>
      </c>
      <c r="C44" s="44" t="s">
        <v>230</v>
      </c>
      <c r="D44" s="44"/>
      <c r="E44" s="45"/>
      <c r="G44" s="42" t="s">
        <v>231</v>
      </c>
      <c r="H44" s="42">
        <v>120</v>
      </c>
      <c r="I44" s="42" t="s">
        <v>232</v>
      </c>
      <c r="J44" s="42"/>
      <c r="K44" s="43"/>
      <c r="M44" s="42" t="s">
        <v>233</v>
      </c>
      <c r="N44" s="42">
        <v>0.39</v>
      </c>
      <c r="O44" s="42" t="s">
        <v>225</v>
      </c>
      <c r="P44" s="42"/>
      <c r="Q44" s="43" t="s">
        <v>75</v>
      </c>
    </row>
    <row r="45" spans="1:17" ht="22.5" customHeight="1" x14ac:dyDescent="0.2">
      <c r="A45" s="42" t="s">
        <v>234</v>
      </c>
      <c r="B45" s="42">
        <f>'Farm Inputs'!$Q$5</f>
        <v>57.25</v>
      </c>
      <c r="C45" s="42" t="s">
        <v>123</v>
      </c>
      <c r="D45" s="42"/>
      <c r="E45" s="43"/>
      <c r="G45" s="44" t="s">
        <v>235</v>
      </c>
      <c r="H45" s="44">
        <v>50</v>
      </c>
      <c r="I45" s="44" t="s">
        <v>236</v>
      </c>
      <c r="J45" s="44"/>
      <c r="K45" s="45"/>
      <c r="M45" s="44" t="s">
        <v>237</v>
      </c>
      <c r="N45" s="44">
        <f>N33*N42*N41*0.67/1000</f>
        <v>4.1413075200000007</v>
      </c>
      <c r="O45" s="44" t="s">
        <v>238</v>
      </c>
      <c r="P45" s="44"/>
      <c r="Q45" s="45"/>
    </row>
    <row r="46" spans="1:17" ht="22.5" customHeight="1" x14ac:dyDescent="0.2">
      <c r="A46" s="44" t="s">
        <v>239</v>
      </c>
      <c r="B46" s="44">
        <f>B42*B48</f>
        <v>6183</v>
      </c>
      <c r="C46" s="44" t="s">
        <v>140</v>
      </c>
      <c r="D46" s="44"/>
      <c r="E46" s="45" t="s">
        <v>75</v>
      </c>
      <c r="G46" s="42" t="s">
        <v>240</v>
      </c>
      <c r="H46" s="42">
        <f>H44/H45</f>
        <v>2.4</v>
      </c>
      <c r="I46" s="42" t="s">
        <v>143</v>
      </c>
      <c r="J46" s="42"/>
      <c r="K46" s="43"/>
      <c r="M46" s="42" t="s">
        <v>241</v>
      </c>
      <c r="N46" s="42">
        <f>N34*N43*N41*0.67/1000</f>
        <v>0.79036114499999999</v>
      </c>
      <c r="O46" s="42" t="s">
        <v>238</v>
      </c>
      <c r="P46" s="42"/>
      <c r="Q46" s="43"/>
    </row>
    <row r="47" spans="1:17" ht="22.5" customHeight="1" x14ac:dyDescent="0.2">
      <c r="A47" s="42" t="s">
        <v>242</v>
      </c>
      <c r="B47" s="42">
        <v>197</v>
      </c>
      <c r="C47" s="42" t="s">
        <v>119</v>
      </c>
      <c r="D47" s="42"/>
      <c r="E47" s="43"/>
      <c r="G47" s="44" t="s">
        <v>243</v>
      </c>
      <c r="H47" s="44">
        <f>H46/2</f>
        <v>1.2</v>
      </c>
      <c r="I47" s="44" t="s">
        <v>244</v>
      </c>
      <c r="J47" s="44" t="s">
        <v>245</v>
      </c>
      <c r="K47" s="45"/>
      <c r="M47" s="44" t="s">
        <v>246</v>
      </c>
      <c r="N47" s="44">
        <f>N35*N44*N41*0.67/1000</f>
        <v>0.13795730676000001</v>
      </c>
      <c r="O47" s="44" t="s">
        <v>238</v>
      </c>
      <c r="P47" s="44"/>
      <c r="Q47" s="45"/>
    </row>
    <row r="48" spans="1:17" ht="22.5" customHeight="1" x14ac:dyDescent="0.2">
      <c r="A48" s="44" t="s">
        <v>247</v>
      </c>
      <c r="B48" s="44">
        <f>B45*0.45*0.6</f>
        <v>15.4575</v>
      </c>
      <c r="C48" s="44" t="s">
        <v>123</v>
      </c>
      <c r="D48" s="44" t="s">
        <v>248</v>
      </c>
      <c r="E48" s="45" t="s">
        <v>249</v>
      </c>
      <c r="G48" s="42" t="s">
        <v>250</v>
      </c>
      <c r="H48" s="42">
        <f>H47*365</f>
        <v>438</v>
      </c>
      <c r="I48" s="42" t="s">
        <v>135</v>
      </c>
      <c r="J48" s="42"/>
      <c r="K48" s="43"/>
      <c r="M48" s="42" t="s">
        <v>251</v>
      </c>
      <c r="N48" s="42">
        <f>SUM(N45:N47)</f>
        <v>5.0696259717600007</v>
      </c>
      <c r="O48" s="42" t="s">
        <v>238</v>
      </c>
      <c r="P48" s="42"/>
      <c r="Q48" s="43"/>
    </row>
    <row r="49" spans="1:17" ht="22.5" customHeight="1" x14ac:dyDescent="0.2">
      <c r="A49" s="42" t="s">
        <v>252</v>
      </c>
      <c r="B49" s="42">
        <f>B45*0.45*0.5</f>
        <v>12.88125</v>
      </c>
      <c r="C49" s="42" t="s">
        <v>123</v>
      </c>
      <c r="D49" s="42"/>
      <c r="E49" s="43" t="s">
        <v>253</v>
      </c>
      <c r="G49" s="44" t="s">
        <v>254</v>
      </c>
      <c r="H49" s="44">
        <f>(H48/H15)</f>
        <v>0.35087719298245618</v>
      </c>
      <c r="I49" s="44" t="s">
        <v>166</v>
      </c>
      <c r="J49" s="44"/>
      <c r="K49" s="45"/>
      <c r="M49" s="44" t="s">
        <v>255</v>
      </c>
      <c r="N49" s="44">
        <v>0.01</v>
      </c>
      <c r="O49" s="44" t="s">
        <v>256</v>
      </c>
      <c r="P49" s="44"/>
      <c r="Q49" s="45" t="s">
        <v>75</v>
      </c>
    </row>
    <row r="50" spans="1:17" ht="22.5" customHeight="1" x14ac:dyDescent="0.2">
      <c r="A50" s="44" t="s">
        <v>257</v>
      </c>
      <c r="B50" s="44">
        <f>B49*B42</f>
        <v>5152.5</v>
      </c>
      <c r="C50" s="44" t="s">
        <v>140</v>
      </c>
      <c r="D50" s="44"/>
      <c r="E50" s="45"/>
      <c r="G50" s="42" t="s">
        <v>258</v>
      </c>
      <c r="H50" s="42">
        <f>H47*H45</f>
        <v>60</v>
      </c>
      <c r="I50" s="42" t="s">
        <v>259</v>
      </c>
      <c r="J50" s="42"/>
      <c r="K50" s="43"/>
      <c r="M50" s="42" t="s">
        <v>260</v>
      </c>
      <c r="N50" s="42">
        <f>(N40*N49*(44/28))/1000</f>
        <v>0.11655430285714284</v>
      </c>
      <c r="O50" s="42" t="s">
        <v>261</v>
      </c>
      <c r="P50" s="42"/>
      <c r="Q50" s="43"/>
    </row>
    <row r="51" spans="1:17" ht="22.5" customHeight="1" x14ac:dyDescent="0.2">
      <c r="A51" s="42" t="s">
        <v>262</v>
      </c>
      <c r="B51" s="42">
        <f>H26*10</f>
        <v>186534.21052631579</v>
      </c>
      <c r="C51" s="42" t="s">
        <v>263</v>
      </c>
      <c r="D51" s="42" t="s">
        <v>264</v>
      </c>
      <c r="E51" s="43"/>
      <c r="G51" s="44" t="s">
        <v>265</v>
      </c>
      <c r="H51" s="44">
        <f>H50+H48</f>
        <v>498</v>
      </c>
      <c r="I51" s="44" t="s">
        <v>135</v>
      </c>
      <c r="J51" s="44"/>
      <c r="K51" s="45"/>
      <c r="M51" s="44" t="s">
        <v>266</v>
      </c>
      <c r="N51" s="44">
        <v>27</v>
      </c>
      <c r="O51" s="44" t="s">
        <v>267</v>
      </c>
      <c r="P51" s="44"/>
      <c r="Q51" s="45" t="s">
        <v>75</v>
      </c>
    </row>
    <row r="52" spans="1:17" ht="22.5" customHeight="1" x14ac:dyDescent="0.2">
      <c r="A52" s="44" t="s">
        <v>268</v>
      </c>
      <c r="B52" s="44">
        <f>(10/1000)*H26</f>
        <v>186.5342105263158</v>
      </c>
      <c r="C52" s="44" t="s">
        <v>153</v>
      </c>
      <c r="D52" s="44"/>
      <c r="E52" s="45"/>
      <c r="G52" s="63" t="s">
        <v>269</v>
      </c>
      <c r="H52" s="63">
        <f>H15-H51</f>
        <v>750.3</v>
      </c>
      <c r="I52" s="63" t="s">
        <v>135</v>
      </c>
      <c r="J52" s="63"/>
      <c r="K52" s="64"/>
      <c r="M52" s="42" t="s">
        <v>270</v>
      </c>
      <c r="N52" s="42">
        <v>273</v>
      </c>
      <c r="O52" s="42" t="s">
        <v>271</v>
      </c>
      <c r="P52" s="42"/>
      <c r="Q52" s="43" t="s">
        <v>75</v>
      </c>
    </row>
    <row r="53" spans="1:17" ht="22.5" customHeight="1" x14ac:dyDescent="0.2">
      <c r="A53" s="42" t="s">
        <v>272</v>
      </c>
      <c r="B53" s="42">
        <f>B52/B3</f>
        <v>3.1089035087719301</v>
      </c>
      <c r="C53" s="42" t="s">
        <v>273</v>
      </c>
      <c r="D53" s="42"/>
      <c r="E53" s="43"/>
      <c r="M53" s="44" t="s">
        <v>274</v>
      </c>
      <c r="N53" s="44">
        <f>N48*N51</f>
        <v>136.87990123752002</v>
      </c>
      <c r="O53" s="44" t="s">
        <v>275</v>
      </c>
      <c r="P53" s="44"/>
      <c r="Q53" s="45"/>
    </row>
    <row r="54" spans="1:17" ht="22.5" customHeight="1" x14ac:dyDescent="0.2">
      <c r="A54" s="57" t="s">
        <v>276</v>
      </c>
      <c r="B54" s="57">
        <f>B46-B50</f>
        <v>1030.5</v>
      </c>
      <c r="C54" s="57" t="s">
        <v>140</v>
      </c>
      <c r="D54" s="57"/>
      <c r="E54" s="59"/>
      <c r="M54" s="63" t="s">
        <v>277</v>
      </c>
      <c r="N54" s="63">
        <f>N50*N52</f>
        <v>31.819324679999994</v>
      </c>
      <c r="O54" s="63" t="s">
        <v>275</v>
      </c>
      <c r="P54" s="63"/>
      <c r="Q54" s="64"/>
    </row>
    <row r="56" spans="1:17" ht="14" x14ac:dyDescent="0.2">
      <c r="M56" s="54" t="s">
        <v>278</v>
      </c>
      <c r="N56" s="54"/>
      <c r="O56" s="54"/>
    </row>
    <row r="57" spans="1:17" ht="14" x14ac:dyDescent="0.2">
      <c r="M57" s="54" t="s">
        <v>274</v>
      </c>
      <c r="N57" s="54">
        <f t="shared" ref="N57:N58" si="10">N53*0.4</f>
        <v>54.751960495008007</v>
      </c>
      <c r="O57" s="54" t="s">
        <v>275</v>
      </c>
    </row>
    <row r="58" spans="1:17" ht="14" x14ac:dyDescent="0.2">
      <c r="M58" s="54" t="s">
        <v>277</v>
      </c>
      <c r="N58" s="54">
        <f t="shared" si="10"/>
        <v>12.727729871999998</v>
      </c>
      <c r="O58" s="54" t="s">
        <v>275</v>
      </c>
    </row>
  </sheetData>
  <mergeCells count="1">
    <mergeCell ref="M7:U7"/>
  </mergeCells>
  <dataValidations count="1">
    <dataValidation type="custom" allowBlank="1" showDropDown="1" sqref="B2:B21 H19:H31 H35:H40 H44:H52 N24:N54" xr:uid="{5B7A5EB0-EFEA-BB45-AC55-41C954421CAB}">
      <formula1>AND(ISNUMBER(B2),(NOT(OR(NOT(ISERROR(DATEVALUE(B2))), AND(ISNUMBER(B2), LEFT(CELL("format", B2))="D")))))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F51B-8EEF-CC48-BB72-C29DD51E6B54}">
  <dimension ref="B1:G34"/>
  <sheetViews>
    <sheetView topLeftCell="A7" workbookViewId="0">
      <selection activeCell="B2" sqref="B2"/>
    </sheetView>
  </sheetViews>
  <sheetFormatPr baseColWidth="10" defaultColWidth="28.33203125" defaultRowHeight="16" x14ac:dyDescent="0.2"/>
  <cols>
    <col min="2" max="2" width="35.6640625" customWidth="1"/>
    <col min="3" max="3" width="23" customWidth="1"/>
    <col min="4" max="4" width="23.5" customWidth="1"/>
    <col min="5" max="5" width="66" customWidth="1"/>
    <col min="6" max="6" width="28.5" customWidth="1"/>
  </cols>
  <sheetData>
    <row r="1" spans="2:6" ht="17" thickBot="1" x14ac:dyDescent="0.25"/>
    <row r="2" spans="2:6" ht="26" customHeight="1" thickBot="1" x14ac:dyDescent="0.25">
      <c r="B2" s="20" t="s">
        <v>35</v>
      </c>
      <c r="C2" s="21"/>
      <c r="E2" s="23" t="s">
        <v>43</v>
      </c>
      <c r="F2" s="21"/>
    </row>
    <row r="3" spans="2:6" ht="18" thickBot="1" x14ac:dyDescent="0.25">
      <c r="B3" s="15" t="s">
        <v>27</v>
      </c>
      <c r="C3" s="16" t="s">
        <v>28</v>
      </c>
      <c r="E3" s="15" t="s">
        <v>27</v>
      </c>
      <c r="F3" s="16" t="s">
        <v>28</v>
      </c>
    </row>
    <row r="4" spans="2:6" ht="37" customHeight="1" thickBot="1" x14ac:dyDescent="0.25">
      <c r="B4" s="17" t="s">
        <v>29</v>
      </c>
      <c r="C4" s="18">
        <v>40000</v>
      </c>
      <c r="D4" s="36"/>
      <c r="E4" s="17" t="s">
        <v>36</v>
      </c>
      <c r="F4" s="18">
        <v>6000</v>
      </c>
    </row>
    <row r="5" spans="2:6" ht="34" customHeight="1" thickBot="1" x14ac:dyDescent="0.25">
      <c r="B5" s="17" t="s">
        <v>30</v>
      </c>
      <c r="C5" s="18">
        <v>6000</v>
      </c>
      <c r="E5" s="17" t="s">
        <v>37</v>
      </c>
      <c r="F5" s="18">
        <v>10000</v>
      </c>
    </row>
    <row r="6" spans="2:6" ht="18" thickBot="1" x14ac:dyDescent="0.25">
      <c r="B6" s="17" t="s">
        <v>31</v>
      </c>
      <c r="C6" s="18">
        <v>10500</v>
      </c>
      <c r="E6" s="17" t="s">
        <v>38</v>
      </c>
      <c r="F6" s="18">
        <v>45000</v>
      </c>
    </row>
    <row r="7" spans="2:6" ht="35" customHeight="1" thickBot="1" x14ac:dyDescent="0.25">
      <c r="B7" s="17" t="s">
        <v>32</v>
      </c>
      <c r="C7" s="18">
        <v>1500</v>
      </c>
      <c r="E7" s="17" t="s">
        <v>39</v>
      </c>
      <c r="F7" s="18">
        <v>16000</v>
      </c>
    </row>
    <row r="8" spans="2:6" ht="18" thickBot="1" x14ac:dyDescent="0.25">
      <c r="B8" s="17" t="s">
        <v>33</v>
      </c>
      <c r="C8" s="18">
        <v>20000</v>
      </c>
      <c r="E8" s="17" t="s">
        <v>40</v>
      </c>
      <c r="F8" s="18">
        <v>15000</v>
      </c>
    </row>
    <row r="9" spans="2:6" ht="23" customHeight="1" thickBot="1" x14ac:dyDescent="0.25">
      <c r="B9" s="19" t="s">
        <v>34</v>
      </c>
      <c r="C9" s="18">
        <v>78000</v>
      </c>
      <c r="E9" s="17" t="s">
        <v>41</v>
      </c>
      <c r="F9" s="18">
        <v>12000</v>
      </c>
    </row>
    <row r="10" spans="2:6" ht="18" thickBot="1" x14ac:dyDescent="0.25">
      <c r="E10" s="17" t="s">
        <v>42</v>
      </c>
      <c r="F10" s="18">
        <v>1500</v>
      </c>
    </row>
    <row r="11" spans="2:6" ht="18" thickBot="1" x14ac:dyDescent="0.25">
      <c r="E11" s="19" t="s">
        <v>34</v>
      </c>
      <c r="F11" s="18">
        <v>105500</v>
      </c>
    </row>
    <row r="13" spans="2:6" ht="17" thickBot="1" x14ac:dyDescent="0.25"/>
    <row r="14" spans="2:6" ht="35" customHeight="1" thickBot="1" x14ac:dyDescent="0.25">
      <c r="B14" s="23" t="s">
        <v>48</v>
      </c>
      <c r="C14" s="21"/>
      <c r="E14" s="21" t="s">
        <v>49</v>
      </c>
    </row>
    <row r="15" spans="2:6" ht="23" thickBot="1" x14ac:dyDescent="0.35">
      <c r="B15" s="15" t="s">
        <v>27</v>
      </c>
      <c r="C15" s="16" t="s">
        <v>28</v>
      </c>
      <c r="E15" s="24">
        <f>265000-F11-C9-C20</f>
        <v>74000</v>
      </c>
    </row>
    <row r="16" spans="2:6" ht="18" thickBot="1" x14ac:dyDescent="0.25">
      <c r="B16" s="17" t="s">
        <v>44</v>
      </c>
      <c r="C16" s="18">
        <v>1000</v>
      </c>
    </row>
    <row r="17" spans="2:7" ht="18" thickBot="1" x14ac:dyDescent="0.25">
      <c r="B17" s="17" t="s">
        <v>45</v>
      </c>
      <c r="C17" s="18">
        <v>3500</v>
      </c>
    </row>
    <row r="18" spans="2:7" ht="35" customHeight="1" thickBot="1" x14ac:dyDescent="0.25">
      <c r="B18" s="17" t="s">
        <v>46</v>
      </c>
      <c r="C18" s="18">
        <v>1500</v>
      </c>
    </row>
    <row r="19" spans="2:7" ht="35" thickBot="1" x14ac:dyDescent="0.25">
      <c r="B19" s="17" t="s">
        <v>47</v>
      </c>
      <c r="C19" s="18">
        <v>1500</v>
      </c>
    </row>
    <row r="20" spans="2:7" ht="18" thickBot="1" x14ac:dyDescent="0.25">
      <c r="B20" s="19" t="s">
        <v>34</v>
      </c>
      <c r="C20" s="18">
        <v>7500</v>
      </c>
      <c r="F20" s="12"/>
    </row>
    <row r="25" spans="2:7" ht="17" thickBot="1" x14ac:dyDescent="0.25"/>
    <row r="26" spans="2:7" ht="20" customHeight="1" thickBot="1" x14ac:dyDescent="0.25">
      <c r="B26" s="23" t="s">
        <v>50</v>
      </c>
      <c r="C26" s="21"/>
      <c r="E26" s="21" t="s">
        <v>52</v>
      </c>
    </row>
    <row r="27" spans="2:7" ht="23" thickBot="1" x14ac:dyDescent="0.35">
      <c r="B27" s="13" t="s">
        <v>20</v>
      </c>
      <c r="C27" s="14" t="s">
        <v>51</v>
      </c>
      <c r="E27" s="25">
        <f>0.04*C33</f>
        <v>10600</v>
      </c>
    </row>
    <row r="28" spans="2:7" ht="18" thickBot="1" x14ac:dyDescent="0.25">
      <c r="B28" s="5" t="s">
        <v>21</v>
      </c>
      <c r="C28" s="7">
        <v>42000</v>
      </c>
    </row>
    <row r="29" spans="2:7" ht="18" thickBot="1" x14ac:dyDescent="0.25">
      <c r="B29" s="5" t="s">
        <v>22</v>
      </c>
      <c r="C29" s="7">
        <v>12000</v>
      </c>
    </row>
    <row r="30" spans="2:7" ht="18" thickBot="1" x14ac:dyDescent="0.25">
      <c r="B30" s="5" t="s">
        <v>23</v>
      </c>
      <c r="C30" s="7">
        <v>150000</v>
      </c>
      <c r="E30" s="13" t="s">
        <v>53</v>
      </c>
      <c r="F30" s="14" t="s">
        <v>55</v>
      </c>
      <c r="G30" s="14" t="s">
        <v>54</v>
      </c>
    </row>
    <row r="31" spans="2:7" ht="18" thickBot="1" x14ac:dyDescent="0.25">
      <c r="B31" s="5" t="s">
        <v>24</v>
      </c>
      <c r="C31" s="7">
        <v>9000</v>
      </c>
      <c r="E31" s="5" t="s">
        <v>0</v>
      </c>
      <c r="F31" s="6" t="s">
        <v>1</v>
      </c>
      <c r="G31" s="7">
        <v>33470</v>
      </c>
    </row>
    <row r="32" spans="2:7" ht="18" thickBot="1" x14ac:dyDescent="0.25">
      <c r="B32" s="5" t="s">
        <v>25</v>
      </c>
      <c r="C32" s="7">
        <v>52000</v>
      </c>
      <c r="E32" s="5" t="s">
        <v>2</v>
      </c>
      <c r="F32" s="6" t="s">
        <v>3</v>
      </c>
      <c r="G32" s="7">
        <v>13380</v>
      </c>
    </row>
    <row r="33" spans="2:7" ht="18" thickBot="1" x14ac:dyDescent="0.25">
      <c r="B33" s="22" t="s">
        <v>26</v>
      </c>
      <c r="C33" s="7">
        <v>265000</v>
      </c>
      <c r="E33" s="5" t="s">
        <v>4</v>
      </c>
      <c r="F33" s="6" t="s">
        <v>5</v>
      </c>
      <c r="G33" s="7">
        <v>10945</v>
      </c>
    </row>
    <row r="34" spans="2:7" ht="18" thickBot="1" x14ac:dyDescent="0.25">
      <c r="E34" s="26" t="s">
        <v>6</v>
      </c>
      <c r="F34" s="8"/>
      <c r="G34" s="7">
        <v>57796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C721-D0D2-0C42-B9B3-60EC9401494E}">
  <dimension ref="A2:Q32"/>
  <sheetViews>
    <sheetView zoomScale="75" zoomScaleNormal="328" workbookViewId="0">
      <selection sqref="A1:R42"/>
    </sheetView>
  </sheetViews>
  <sheetFormatPr baseColWidth="10" defaultRowHeight="16" x14ac:dyDescent="0.2"/>
  <cols>
    <col min="1" max="1" width="3.6640625" style="27" bestFit="1" customWidth="1"/>
    <col min="2" max="2" width="16" style="27" bestFit="1" customWidth="1"/>
    <col min="3" max="3" width="11.6640625" style="27" bestFit="1" customWidth="1"/>
    <col min="4" max="4" width="7.6640625" style="27" bestFit="1" customWidth="1"/>
    <col min="5" max="5" width="10.5" style="27" bestFit="1" customWidth="1"/>
    <col min="6" max="6" width="11.1640625" style="27" bestFit="1" customWidth="1"/>
    <col min="7" max="7" width="13.33203125" style="27" bestFit="1" customWidth="1"/>
    <col min="8" max="8" width="21" style="27" bestFit="1" customWidth="1"/>
    <col min="9" max="9" width="10.83203125" style="27"/>
    <col min="10" max="10" width="16" style="27" bestFit="1" customWidth="1"/>
    <col min="11" max="11" width="14.1640625" style="27" bestFit="1" customWidth="1"/>
    <col min="12" max="12" width="10.83203125" style="27"/>
    <col min="13" max="13" width="16" style="27" bestFit="1" customWidth="1"/>
    <col min="14" max="14" width="14.1640625" style="27" bestFit="1" customWidth="1"/>
    <col min="15" max="15" width="10.83203125" style="27"/>
    <col min="16" max="16" width="16" style="27" bestFit="1" customWidth="1"/>
    <col min="17" max="17" width="14.1640625" style="27" bestFit="1" customWidth="1"/>
    <col min="18" max="16384" width="10.83203125" style="27"/>
  </cols>
  <sheetData>
    <row r="2" spans="1:17" ht="17" thickBot="1" x14ac:dyDescent="0.25"/>
    <row r="3" spans="1:17" ht="35" thickBot="1" x14ac:dyDescent="0.25">
      <c r="B3" s="15" t="s">
        <v>11</v>
      </c>
      <c r="C3" s="15" t="s">
        <v>56</v>
      </c>
      <c r="D3" s="15" t="s">
        <v>16</v>
      </c>
      <c r="E3" s="15" t="s">
        <v>57</v>
      </c>
      <c r="F3" s="15" t="s">
        <v>58</v>
      </c>
      <c r="G3" s="15" t="s">
        <v>59</v>
      </c>
      <c r="H3" s="15" t="s">
        <v>60</v>
      </c>
    </row>
    <row r="4" spans="1:17" ht="19" x14ac:dyDescent="0.2">
      <c r="A4" s="27">
        <v>1</v>
      </c>
      <c r="B4" s="27">
        <v>2026</v>
      </c>
      <c r="C4" s="28">
        <f>-(Finances!C33)</f>
        <v>-265000</v>
      </c>
      <c r="D4" s="27">
        <v>0</v>
      </c>
      <c r="E4" s="28">
        <f>D4+C4</f>
        <v>-265000</v>
      </c>
      <c r="F4" s="27">
        <v>0</v>
      </c>
      <c r="G4" s="31">
        <f>F4+E4</f>
        <v>-265000</v>
      </c>
      <c r="H4" s="28">
        <f>G4</f>
        <v>-265000</v>
      </c>
      <c r="J4" s="32" t="s">
        <v>61</v>
      </c>
      <c r="K4" s="33">
        <v>0.06</v>
      </c>
      <c r="M4" s="32" t="s">
        <v>61</v>
      </c>
      <c r="N4" s="29">
        <v>0.08</v>
      </c>
      <c r="P4" s="32" t="s">
        <v>61</v>
      </c>
      <c r="Q4" s="29">
        <v>0.1</v>
      </c>
    </row>
    <row r="5" spans="1:17" ht="19" x14ac:dyDescent="0.2">
      <c r="A5" s="27">
        <v>2</v>
      </c>
      <c r="B5" s="27">
        <v>2027</v>
      </c>
      <c r="C5" s="27">
        <v>0</v>
      </c>
      <c r="D5" s="27">
        <f>-(Finances!E27)</f>
        <v>-10600</v>
      </c>
      <c r="E5" s="28">
        <f t="shared" ref="E5:E24" si="0">D5+C5</f>
        <v>-10600</v>
      </c>
      <c r="F5" s="28">
        <f>Finances!G34</f>
        <v>57796</v>
      </c>
      <c r="G5" s="31">
        <f t="shared" ref="G5:G24" si="1">F5+E5</f>
        <v>47196</v>
      </c>
      <c r="H5" s="28">
        <f>G5+H4</f>
        <v>-217804</v>
      </c>
      <c r="J5" s="33"/>
      <c r="K5" s="33"/>
    </row>
    <row r="6" spans="1:17" ht="19" x14ac:dyDescent="0.2">
      <c r="A6" s="27">
        <v>3</v>
      </c>
      <c r="B6" s="27">
        <v>2028</v>
      </c>
      <c r="C6" s="27">
        <v>0</v>
      </c>
      <c r="D6" s="27">
        <f>-(Finances!E27)</f>
        <v>-10600</v>
      </c>
      <c r="E6" s="28">
        <f t="shared" si="0"/>
        <v>-10600</v>
      </c>
      <c r="F6" s="27">
        <v>57796</v>
      </c>
      <c r="G6" s="31">
        <f t="shared" si="1"/>
        <v>47196</v>
      </c>
      <c r="H6" s="28">
        <f>H5+G6</f>
        <v>-170608</v>
      </c>
      <c r="J6" s="32" t="s">
        <v>15</v>
      </c>
      <c r="K6" s="34">
        <f>NPV(K4,G5:G24)+G4</f>
        <v>276334.40183140559</v>
      </c>
      <c r="M6" s="32" t="s">
        <v>15</v>
      </c>
      <c r="N6" s="34">
        <f>NPV(N4,G5:G24)+G4</f>
        <v>198377.28504197655</v>
      </c>
      <c r="P6" s="32" t="s">
        <v>15</v>
      </c>
      <c r="Q6" s="34">
        <f>NPV(Q4,G5:G24)+G4</f>
        <v>136806.15331772494</v>
      </c>
    </row>
    <row r="7" spans="1:17" ht="19" x14ac:dyDescent="0.2">
      <c r="A7" s="27">
        <v>4</v>
      </c>
      <c r="B7" s="27">
        <v>2029</v>
      </c>
      <c r="C7" s="27">
        <v>0</v>
      </c>
      <c r="D7" s="27">
        <v>-10600</v>
      </c>
      <c r="E7" s="28">
        <f t="shared" si="0"/>
        <v>-10600</v>
      </c>
      <c r="F7" s="27">
        <v>57796</v>
      </c>
      <c r="G7" s="31">
        <f t="shared" si="1"/>
        <v>47196</v>
      </c>
      <c r="H7" s="28">
        <f t="shared" ref="H7:H24" si="2">H6+G7</f>
        <v>-123412</v>
      </c>
      <c r="J7" s="32" t="s">
        <v>19</v>
      </c>
      <c r="K7" s="35">
        <f>IRR(G4:G24)</f>
        <v>0.17044903380492316</v>
      </c>
      <c r="M7" s="33"/>
      <c r="N7" s="35"/>
      <c r="P7" s="33"/>
      <c r="Q7" s="35"/>
    </row>
    <row r="8" spans="1:17" x14ac:dyDescent="0.2">
      <c r="A8" s="27">
        <v>5</v>
      </c>
      <c r="B8" s="27">
        <v>2030</v>
      </c>
      <c r="C8" s="27">
        <v>0</v>
      </c>
      <c r="D8" s="27">
        <v>-10600</v>
      </c>
      <c r="E8" s="28">
        <f t="shared" si="0"/>
        <v>-10600</v>
      </c>
      <c r="F8" s="27">
        <v>57796</v>
      </c>
      <c r="G8" s="31">
        <f t="shared" si="1"/>
        <v>47196</v>
      </c>
      <c r="H8" s="28">
        <f t="shared" si="2"/>
        <v>-76216</v>
      </c>
    </row>
    <row r="9" spans="1:17" x14ac:dyDescent="0.2">
      <c r="A9" s="27">
        <v>6</v>
      </c>
      <c r="B9" s="27">
        <v>2031</v>
      </c>
      <c r="C9" s="27">
        <v>0</v>
      </c>
      <c r="D9" s="27">
        <v>-10600</v>
      </c>
      <c r="E9" s="28">
        <f t="shared" si="0"/>
        <v>-10600</v>
      </c>
      <c r="F9" s="27">
        <v>57796</v>
      </c>
      <c r="G9" s="31">
        <f t="shared" si="1"/>
        <v>47196</v>
      </c>
      <c r="H9" s="28">
        <f t="shared" si="2"/>
        <v>-29020</v>
      </c>
    </row>
    <row r="10" spans="1:17" x14ac:dyDescent="0.2">
      <c r="A10" s="27">
        <v>7</v>
      </c>
      <c r="B10" s="27">
        <v>2032</v>
      </c>
      <c r="C10" s="27">
        <v>0</v>
      </c>
      <c r="D10" s="27">
        <v>-10600</v>
      </c>
      <c r="E10" s="28">
        <f t="shared" si="0"/>
        <v>-10600</v>
      </c>
      <c r="F10" s="27">
        <v>57796</v>
      </c>
      <c r="G10" s="31">
        <f t="shared" si="1"/>
        <v>47196</v>
      </c>
      <c r="H10" s="28">
        <f t="shared" si="2"/>
        <v>18176</v>
      </c>
    </row>
    <row r="11" spans="1:17" x14ac:dyDescent="0.2">
      <c r="A11" s="27">
        <v>8</v>
      </c>
      <c r="B11" s="27">
        <v>2033</v>
      </c>
      <c r="C11" s="27">
        <v>0</v>
      </c>
      <c r="D11" s="27">
        <v>-10600</v>
      </c>
      <c r="E11" s="28">
        <f t="shared" si="0"/>
        <v>-10600</v>
      </c>
      <c r="F11" s="27">
        <v>57796</v>
      </c>
      <c r="G11" s="31">
        <f t="shared" si="1"/>
        <v>47196</v>
      </c>
      <c r="H11" s="28">
        <f t="shared" si="2"/>
        <v>65372</v>
      </c>
    </row>
    <row r="12" spans="1:17" x14ac:dyDescent="0.2">
      <c r="A12" s="27">
        <v>9</v>
      </c>
      <c r="B12" s="27">
        <v>2034</v>
      </c>
      <c r="C12" s="27">
        <v>0</v>
      </c>
      <c r="D12" s="27">
        <v>-10600</v>
      </c>
      <c r="E12" s="28">
        <f t="shared" si="0"/>
        <v>-10600</v>
      </c>
      <c r="F12" s="27">
        <v>57796</v>
      </c>
      <c r="G12" s="31">
        <f t="shared" si="1"/>
        <v>47196</v>
      </c>
      <c r="H12" s="28">
        <f t="shared" si="2"/>
        <v>112568</v>
      </c>
    </row>
    <row r="13" spans="1:17" x14ac:dyDescent="0.2">
      <c r="A13" s="27">
        <v>10</v>
      </c>
      <c r="B13" s="27">
        <v>2035</v>
      </c>
      <c r="C13" s="27">
        <v>0</v>
      </c>
      <c r="D13" s="27">
        <v>-10600</v>
      </c>
      <c r="E13" s="28">
        <f t="shared" si="0"/>
        <v>-10600</v>
      </c>
      <c r="F13" s="27">
        <v>57796</v>
      </c>
      <c r="G13" s="31">
        <f t="shared" si="1"/>
        <v>47196</v>
      </c>
      <c r="H13" s="28">
        <f t="shared" si="2"/>
        <v>159764</v>
      </c>
    </row>
    <row r="14" spans="1:17" x14ac:dyDescent="0.2">
      <c r="A14" s="27">
        <v>11</v>
      </c>
      <c r="B14" s="27">
        <v>2036</v>
      </c>
      <c r="C14" s="27">
        <v>0</v>
      </c>
      <c r="D14" s="27">
        <v>-10600</v>
      </c>
      <c r="E14" s="28">
        <f t="shared" si="0"/>
        <v>-10600</v>
      </c>
      <c r="F14" s="27">
        <v>57796</v>
      </c>
      <c r="G14" s="31">
        <f t="shared" si="1"/>
        <v>47196</v>
      </c>
      <c r="H14" s="28">
        <f t="shared" si="2"/>
        <v>206960</v>
      </c>
    </row>
    <row r="15" spans="1:17" x14ac:dyDescent="0.2">
      <c r="A15" s="27">
        <v>12</v>
      </c>
      <c r="B15" s="27">
        <v>2037</v>
      </c>
      <c r="C15" s="27">
        <v>0</v>
      </c>
      <c r="D15" s="27">
        <v>-10600</v>
      </c>
      <c r="E15" s="28">
        <f t="shared" si="0"/>
        <v>-10600</v>
      </c>
      <c r="F15" s="27">
        <v>57796</v>
      </c>
      <c r="G15" s="31">
        <f t="shared" si="1"/>
        <v>47196</v>
      </c>
      <c r="H15" s="28">
        <f t="shared" si="2"/>
        <v>254156</v>
      </c>
    </row>
    <row r="16" spans="1:17" x14ac:dyDescent="0.2">
      <c r="A16" s="27">
        <v>13</v>
      </c>
      <c r="B16" s="27">
        <v>2038</v>
      </c>
      <c r="C16" s="27">
        <v>0</v>
      </c>
      <c r="D16" s="27">
        <v>-10600</v>
      </c>
      <c r="E16" s="28">
        <f t="shared" si="0"/>
        <v>-10600</v>
      </c>
      <c r="F16" s="27">
        <v>57796</v>
      </c>
      <c r="G16" s="31">
        <f t="shared" si="1"/>
        <v>47196</v>
      </c>
      <c r="H16" s="28">
        <f t="shared" si="2"/>
        <v>301352</v>
      </c>
    </row>
    <row r="17" spans="1:8" x14ac:dyDescent="0.2">
      <c r="A17" s="27">
        <v>14</v>
      </c>
      <c r="B17" s="27">
        <v>2039</v>
      </c>
      <c r="C17" s="27">
        <v>0</v>
      </c>
      <c r="D17" s="27">
        <v>-10600</v>
      </c>
      <c r="E17" s="28">
        <f t="shared" si="0"/>
        <v>-10600</v>
      </c>
      <c r="F17" s="27">
        <v>57796</v>
      </c>
      <c r="G17" s="31">
        <f t="shared" si="1"/>
        <v>47196</v>
      </c>
      <c r="H17" s="28">
        <f t="shared" si="2"/>
        <v>348548</v>
      </c>
    </row>
    <row r="18" spans="1:8" x14ac:dyDescent="0.2">
      <c r="A18" s="27">
        <v>15</v>
      </c>
      <c r="B18" s="27">
        <v>2040</v>
      </c>
      <c r="C18" s="27">
        <v>0</v>
      </c>
      <c r="D18" s="27">
        <v>-10600</v>
      </c>
      <c r="E18" s="28">
        <f t="shared" si="0"/>
        <v>-10600</v>
      </c>
      <c r="F18" s="27">
        <v>57796</v>
      </c>
      <c r="G18" s="31">
        <f t="shared" si="1"/>
        <v>47196</v>
      </c>
      <c r="H18" s="28">
        <f t="shared" si="2"/>
        <v>395744</v>
      </c>
    </row>
    <row r="19" spans="1:8" x14ac:dyDescent="0.2">
      <c r="A19" s="27">
        <v>16</v>
      </c>
      <c r="B19" s="27">
        <v>2041</v>
      </c>
      <c r="C19" s="27">
        <v>0</v>
      </c>
      <c r="D19" s="27">
        <v>-10600</v>
      </c>
      <c r="E19" s="28">
        <f t="shared" si="0"/>
        <v>-10600</v>
      </c>
      <c r="F19" s="27">
        <v>57796</v>
      </c>
      <c r="G19" s="31">
        <f t="shared" si="1"/>
        <v>47196</v>
      </c>
      <c r="H19" s="28">
        <f t="shared" si="2"/>
        <v>442940</v>
      </c>
    </row>
    <row r="20" spans="1:8" x14ac:dyDescent="0.2">
      <c r="A20" s="27">
        <v>17</v>
      </c>
      <c r="B20" s="27">
        <v>2042</v>
      </c>
      <c r="C20" s="27">
        <v>0</v>
      </c>
      <c r="D20" s="27">
        <v>-10600</v>
      </c>
      <c r="E20" s="28">
        <f t="shared" si="0"/>
        <v>-10600</v>
      </c>
      <c r="F20" s="27">
        <v>57796</v>
      </c>
      <c r="G20" s="31">
        <f t="shared" si="1"/>
        <v>47196</v>
      </c>
      <c r="H20" s="28">
        <f t="shared" si="2"/>
        <v>490136</v>
      </c>
    </row>
    <row r="21" spans="1:8" x14ac:dyDescent="0.2">
      <c r="A21" s="27">
        <v>18</v>
      </c>
      <c r="B21" s="27">
        <v>2043</v>
      </c>
      <c r="C21" s="27">
        <v>0</v>
      </c>
      <c r="D21" s="27">
        <v>-10600</v>
      </c>
      <c r="E21" s="28">
        <f t="shared" si="0"/>
        <v>-10600</v>
      </c>
      <c r="F21" s="27">
        <v>57796</v>
      </c>
      <c r="G21" s="31">
        <f t="shared" si="1"/>
        <v>47196</v>
      </c>
      <c r="H21" s="28">
        <f t="shared" si="2"/>
        <v>537332</v>
      </c>
    </row>
    <row r="22" spans="1:8" x14ac:dyDescent="0.2">
      <c r="A22" s="27">
        <v>19</v>
      </c>
      <c r="B22" s="27">
        <v>2044</v>
      </c>
      <c r="C22" s="27">
        <v>0</v>
      </c>
      <c r="D22" s="27">
        <v>-10600</v>
      </c>
      <c r="E22" s="28">
        <f t="shared" si="0"/>
        <v>-10600</v>
      </c>
      <c r="F22" s="27">
        <v>57796</v>
      </c>
      <c r="G22" s="31">
        <f t="shared" si="1"/>
        <v>47196</v>
      </c>
      <c r="H22" s="28">
        <f t="shared" si="2"/>
        <v>584528</v>
      </c>
    </row>
    <row r="23" spans="1:8" x14ac:dyDescent="0.2">
      <c r="A23" s="27">
        <v>20</v>
      </c>
      <c r="B23" s="27">
        <v>2045</v>
      </c>
      <c r="C23" s="27">
        <v>0</v>
      </c>
      <c r="D23" s="27">
        <v>-10600</v>
      </c>
      <c r="E23" s="28">
        <f t="shared" si="0"/>
        <v>-10600</v>
      </c>
      <c r="F23" s="27">
        <v>57796</v>
      </c>
      <c r="G23" s="31">
        <f t="shared" si="1"/>
        <v>47196</v>
      </c>
      <c r="H23" s="28">
        <f t="shared" si="2"/>
        <v>631724</v>
      </c>
    </row>
    <row r="24" spans="1:8" x14ac:dyDescent="0.2">
      <c r="A24" s="27">
        <v>21</v>
      </c>
      <c r="B24" s="27">
        <v>2046</v>
      </c>
      <c r="C24" s="27">
        <v>0</v>
      </c>
      <c r="D24" s="27">
        <v>-10600</v>
      </c>
      <c r="E24" s="28">
        <f t="shared" si="0"/>
        <v>-10600</v>
      </c>
      <c r="F24" s="27">
        <v>57796</v>
      </c>
      <c r="G24" s="31">
        <f t="shared" si="1"/>
        <v>47196</v>
      </c>
      <c r="H24" s="28">
        <f t="shared" si="2"/>
        <v>678920</v>
      </c>
    </row>
    <row r="25" spans="1:8" x14ac:dyDescent="0.2">
      <c r="E25" s="28"/>
      <c r="G25" s="28"/>
      <c r="H25" s="28"/>
    </row>
    <row r="29" spans="1:8" ht="19" x14ac:dyDescent="0.2">
      <c r="B29" s="32" t="s">
        <v>61</v>
      </c>
      <c r="C29" s="32" t="s">
        <v>15</v>
      </c>
    </row>
    <row r="30" spans="1:8" x14ac:dyDescent="0.2">
      <c r="B30" s="27">
        <f>K4</f>
        <v>0.06</v>
      </c>
      <c r="C30" s="30">
        <f>K6</f>
        <v>276334.40183140559</v>
      </c>
    </row>
    <row r="31" spans="1:8" x14ac:dyDescent="0.2">
      <c r="B31" s="27">
        <f>N4</f>
        <v>0.08</v>
      </c>
      <c r="C31" s="30">
        <f>N6</f>
        <v>198377.28504197655</v>
      </c>
    </row>
    <row r="32" spans="1:8" x14ac:dyDescent="0.2">
      <c r="B32" s="27">
        <f>Q4</f>
        <v>0.1</v>
      </c>
      <c r="C32" s="30">
        <f>Q6</f>
        <v>136806.15331772494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Farm Energy Demand</vt:lpstr>
      <vt:lpstr>Farm Inputs</vt:lpstr>
      <vt:lpstr>Finances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Shastri, Aniruddh</dc:creator>
  <cp:lastModifiedBy>Shastri, Aniruddh</cp:lastModifiedBy>
  <dcterms:created xsi:type="dcterms:W3CDTF">2026-07-05T11:47:54Z</dcterms:created>
  <dcterms:modified xsi:type="dcterms:W3CDTF">2026-07-07T20:11:54Z</dcterms:modified>
</cp:coreProperties>
</file>